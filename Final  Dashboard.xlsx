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ushikesh\Desktop\"/>
    </mc:Choice>
  </mc:AlternateContent>
  <xr:revisionPtr revIDLastSave="0" documentId="13_ncr:1_{5EEDA7FF-9D22-483E-A891-8757921B8A06}" xr6:coauthVersionLast="47" xr6:coauthVersionMax="47" xr10:uidLastSave="{00000000-0000-0000-0000-000000000000}"/>
  <bookViews>
    <workbookView xWindow="-108" yWindow="-108" windowWidth="23256" windowHeight="12456" activeTab="1" xr2:uid="{13A04E42-8192-4C5E-951B-95BE754258AA}"/>
  </bookViews>
  <sheets>
    <sheet name="Top Indian Places to Visit" sheetId="1" r:id="rId1"/>
    <sheet name="Sheet1" sheetId="8" r:id="rId2"/>
    <sheet name="Kpi" sheetId="9" r:id="rId3"/>
  </sheets>
  <definedNames>
    <definedName name="Slicer_State">#N/A</definedName>
    <definedName name="Slicer_Type">#N/A</definedName>
    <definedName name="Slicer_Zo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9" l="1"/>
  <c r="B2" i="9"/>
  <c r="E2" i="9"/>
</calcChain>
</file>

<file path=xl/sharedStrings.xml><?xml version="1.0" encoding="utf-8"?>
<sst xmlns="http://schemas.openxmlformats.org/spreadsheetml/2006/main" count="3521" uniqueCount="708">
  <si>
    <t>Zone</t>
  </si>
  <si>
    <t>State</t>
  </si>
  <si>
    <t>City</t>
  </si>
  <si>
    <t>Name</t>
  </si>
  <si>
    <t>Type</t>
  </si>
  <si>
    <t>Establishment Year</t>
  </si>
  <si>
    <t>time needed to visit in hrs</t>
  </si>
  <si>
    <t>Google review rating</t>
  </si>
  <si>
    <t>Entrance Fee in INR</t>
  </si>
  <si>
    <t>Airport with 50km Radius</t>
  </si>
  <si>
    <t>Weekly Off</t>
  </si>
  <si>
    <t>Significance</t>
  </si>
  <si>
    <t>DSLR Allowed</t>
  </si>
  <si>
    <t>Number of google review in lakhs</t>
  </si>
  <si>
    <t>Best Time to visit</t>
  </si>
  <si>
    <t>Northern</t>
  </si>
  <si>
    <t>Delhi</t>
  </si>
  <si>
    <t>India Gate</t>
  </si>
  <si>
    <t>War Memorial</t>
  </si>
  <si>
    <t>Yes</t>
  </si>
  <si>
    <t>None</t>
  </si>
  <si>
    <t>Historical</t>
  </si>
  <si>
    <t>Evening</t>
  </si>
  <si>
    <t>Humayun's Tomb</t>
  </si>
  <si>
    <t>Tomb</t>
  </si>
  <si>
    <t>Afternoon</t>
  </si>
  <si>
    <t>Akshardham Temple</t>
  </si>
  <si>
    <t>Temple</t>
  </si>
  <si>
    <t>Religious</t>
  </si>
  <si>
    <t>No</t>
  </si>
  <si>
    <t>Waste to Wonder Park</t>
  </si>
  <si>
    <t>Theme Park</t>
  </si>
  <si>
    <t>Monday</t>
  </si>
  <si>
    <t>Environmental</t>
  </si>
  <si>
    <t>Jantar Mantar</t>
  </si>
  <si>
    <t>Observatory</t>
  </si>
  <si>
    <t>Scientific</t>
  </si>
  <si>
    <t>Morning</t>
  </si>
  <si>
    <t>Chandni Chowk</t>
  </si>
  <si>
    <t>Market</t>
  </si>
  <si>
    <t>Sunday</t>
  </si>
  <si>
    <t>Lotus Temple</t>
  </si>
  <si>
    <t>Red Fort</t>
  </si>
  <si>
    <t>Fort</t>
  </si>
  <si>
    <t>Agrasen ki Baoli</t>
  </si>
  <si>
    <t>Stepwell</t>
  </si>
  <si>
    <t>Sunder Nursery</t>
  </si>
  <si>
    <t>Park</t>
  </si>
  <si>
    <t>Botanical</t>
  </si>
  <si>
    <t>Garden of Five Senses</t>
  </si>
  <si>
    <t>Lodhi Garden</t>
  </si>
  <si>
    <t>All</t>
  </si>
  <si>
    <t>National Gallery of Modern Art</t>
  </si>
  <si>
    <t>Museum</t>
  </si>
  <si>
    <t>Artistic</t>
  </si>
  <si>
    <t xml:space="preserve">National Zoological Park </t>
  </si>
  <si>
    <t>Zoo</t>
  </si>
  <si>
    <t>Friday</t>
  </si>
  <si>
    <t>Qutub Minar</t>
  </si>
  <si>
    <t>Monument</t>
  </si>
  <si>
    <t>National Science Centre</t>
  </si>
  <si>
    <t>Science</t>
  </si>
  <si>
    <t>Western</t>
  </si>
  <si>
    <t>Maharastra</t>
  </si>
  <si>
    <t>Mumbai</t>
  </si>
  <si>
    <t>Marine Drive</t>
  </si>
  <si>
    <t>Promenade</t>
  </si>
  <si>
    <t>Unknown</t>
  </si>
  <si>
    <t>Scenic</t>
  </si>
  <si>
    <t>Gateway of India</t>
  </si>
  <si>
    <t>Chhatrapati Shivaji Maharaj Vastu Sangrahalaya</t>
  </si>
  <si>
    <t>Sanjay Gandhi National Park</t>
  </si>
  <si>
    <t>National Park</t>
  </si>
  <si>
    <t>Wildlife</t>
  </si>
  <si>
    <t>Siddhivinayak Temple</t>
  </si>
  <si>
    <t>Mahalaxmi Temple</t>
  </si>
  <si>
    <t>Haji Ali Dargah</t>
  </si>
  <si>
    <t>Religious Shrine</t>
  </si>
  <si>
    <t>Chowpatty Beach</t>
  </si>
  <si>
    <t>Beach</t>
  </si>
  <si>
    <t>Recreational</t>
  </si>
  <si>
    <t>Essel World</t>
  </si>
  <si>
    <t>Amusement Park</t>
  </si>
  <si>
    <t>Elephanta Caves</t>
  </si>
  <si>
    <t xml:space="preserve">All </t>
  </si>
  <si>
    <t>Lonavala</t>
  </si>
  <si>
    <t>Imagicaa</t>
  </si>
  <si>
    <t>Southern</t>
  </si>
  <si>
    <t>Karnataka</t>
  </si>
  <si>
    <t>Bangalore</t>
  </si>
  <si>
    <t>Bangalore Palace</t>
  </si>
  <si>
    <t>Palace</t>
  </si>
  <si>
    <t>Lalbagh Botanical Garden</t>
  </si>
  <si>
    <t>Botanical Garden</t>
  </si>
  <si>
    <t>Nature</t>
  </si>
  <si>
    <t>Cubbon Park</t>
  </si>
  <si>
    <t>Vidhana Soudha</t>
  </si>
  <si>
    <t>Government Building</t>
  </si>
  <si>
    <t>Architectural</t>
  </si>
  <si>
    <t>ISKCON Temple Bangalore</t>
  </si>
  <si>
    <t>Telangana</t>
  </si>
  <si>
    <t>Hyderabad</t>
  </si>
  <si>
    <t>Charminar</t>
  </si>
  <si>
    <t>Landmark</t>
  </si>
  <si>
    <t>Golconda Fort</t>
  </si>
  <si>
    <t>Hussain Sagar Lake</t>
  </si>
  <si>
    <t>Lake</t>
  </si>
  <si>
    <t>Ramoji Film City</t>
  </si>
  <si>
    <t>Film Studio</t>
  </si>
  <si>
    <t>Entertainment</t>
  </si>
  <si>
    <t>Salar Jung Museum</t>
  </si>
  <si>
    <t>Qutb Shahi Tombs</t>
  </si>
  <si>
    <t>Tombs</t>
  </si>
  <si>
    <t>Birla Mandir</t>
  </si>
  <si>
    <t>Chowmahalla Palace</t>
  </si>
  <si>
    <t>Nehru Zoological Park</t>
  </si>
  <si>
    <t>Lumbini Park</t>
  </si>
  <si>
    <t>Eastern</t>
  </si>
  <si>
    <t>West Bengal</t>
  </si>
  <si>
    <t>Kolkata</t>
  </si>
  <si>
    <t>Victoria Memorial</t>
  </si>
  <si>
    <t>Howrah Bridge</t>
  </si>
  <si>
    <t>Bridge</t>
  </si>
  <si>
    <t>Anytime</t>
  </si>
  <si>
    <t>Indian Museum</t>
  </si>
  <si>
    <t>Dakshineswar Kali Temple</t>
  </si>
  <si>
    <t>Kalighat Kali Temple</t>
  </si>
  <si>
    <t>Eden Gardens</t>
  </si>
  <si>
    <t>Cricket Ground</t>
  </si>
  <si>
    <t>Sports</t>
  </si>
  <si>
    <t>Alipore Zoological Gardens</t>
  </si>
  <si>
    <t>Science City Kolkata</t>
  </si>
  <si>
    <t>Educational</t>
  </si>
  <si>
    <t>Belur Math</t>
  </si>
  <si>
    <t>Site</t>
  </si>
  <si>
    <t>Marble Palace</t>
  </si>
  <si>
    <t>Goa</t>
  </si>
  <si>
    <t>Calangute Beach</t>
  </si>
  <si>
    <t>Basilica of Bom Jesus</t>
  </si>
  <si>
    <t>Church</t>
  </si>
  <si>
    <t>Fort Aguada</t>
  </si>
  <si>
    <t>Dudhsagar Falls</t>
  </si>
  <si>
    <t>Waterfall</t>
  </si>
  <si>
    <t>Anjuna Beach</t>
  </si>
  <si>
    <t>Chapora Fort</t>
  </si>
  <si>
    <t>Se Cathedral</t>
  </si>
  <si>
    <t>Baga Beach</t>
  </si>
  <si>
    <t>Arambol Beach</t>
  </si>
  <si>
    <t>Palolem Beach</t>
  </si>
  <si>
    <t>Colva Beach</t>
  </si>
  <si>
    <t>Miramar Beach</t>
  </si>
  <si>
    <t>Aguada Beach</t>
  </si>
  <si>
    <t>Dr. Salim Ali Bird Santuary</t>
  </si>
  <si>
    <t>Bird Sanctuary</t>
  </si>
  <si>
    <t>Gujarat</t>
  </si>
  <si>
    <t>Ahmedabad</t>
  </si>
  <si>
    <t>Sabarmati Ashram</t>
  </si>
  <si>
    <t>Dwarka</t>
  </si>
  <si>
    <t>Dwarkadhish Temple</t>
  </si>
  <si>
    <t>Junagadh</t>
  </si>
  <si>
    <t>Gir National Park</t>
  </si>
  <si>
    <t>Bhuj</t>
  </si>
  <si>
    <t>White Desert</t>
  </si>
  <si>
    <t>Vadodara</t>
  </si>
  <si>
    <t>Laxmi Vilas Palace</t>
  </si>
  <si>
    <t>Somnath</t>
  </si>
  <si>
    <t>Somnath Temple</t>
  </si>
  <si>
    <t>Rann of Kutch</t>
  </si>
  <si>
    <t>Rann Utsav</t>
  </si>
  <si>
    <t>Cultural</t>
  </si>
  <si>
    <t>Kevadia</t>
  </si>
  <si>
    <t>Statue of Unity</t>
  </si>
  <si>
    <t>Gandhinagar</t>
  </si>
  <si>
    <t>Dandi Kutir</t>
  </si>
  <si>
    <t>Sabarmati Riverfront</t>
  </si>
  <si>
    <t>Urban Development Project</t>
  </si>
  <si>
    <t>Manek Chowk</t>
  </si>
  <si>
    <t>Food</t>
  </si>
  <si>
    <t>Night</t>
  </si>
  <si>
    <t>Kankaria Lake</t>
  </si>
  <si>
    <t>Science City</t>
  </si>
  <si>
    <t>Rajasthan</t>
  </si>
  <si>
    <t>Jaipur</t>
  </si>
  <si>
    <t>Hawa Mahal</t>
  </si>
  <si>
    <t>Udaipur</t>
  </si>
  <si>
    <t>City Palace</t>
  </si>
  <si>
    <t>Jaisalmer</t>
  </si>
  <si>
    <t>Jaisalmer Fort</t>
  </si>
  <si>
    <t>Sawai Madhopur</t>
  </si>
  <si>
    <t>Ranthambore National Park</t>
  </si>
  <si>
    <t>Wildlife Sanctuary</t>
  </si>
  <si>
    <t>Pushkar</t>
  </si>
  <si>
    <t>Pushkar Lake</t>
  </si>
  <si>
    <t>Ajmer</t>
  </si>
  <si>
    <t>Ajmer Sharif Dargah</t>
  </si>
  <si>
    <t>Shrine</t>
  </si>
  <si>
    <t>Jodhpur</t>
  </si>
  <si>
    <t>Mehrangarh Fort</t>
  </si>
  <si>
    <t>Chittorgarh</t>
  </si>
  <si>
    <t>Chittorgarh Fort</t>
  </si>
  <si>
    <t>Mount Abu</t>
  </si>
  <si>
    <t>Dilwara Temples</t>
  </si>
  <si>
    <t>Bikaner</t>
  </si>
  <si>
    <t>Junagarh Fort</t>
  </si>
  <si>
    <t>Amber Fort</t>
  </si>
  <si>
    <t>Jaigarh Fort</t>
  </si>
  <si>
    <t>Lake Pichola</t>
  </si>
  <si>
    <t>Punjab</t>
  </si>
  <si>
    <t>Amritsar</t>
  </si>
  <si>
    <t>Golden Temple (Harmandir Sahib)</t>
  </si>
  <si>
    <t>Religious Site</t>
  </si>
  <si>
    <t>Spiritual</t>
  </si>
  <si>
    <t>Jallianwala Bagh</t>
  </si>
  <si>
    <t>Memorial</t>
  </si>
  <si>
    <t>Wagah Border</t>
  </si>
  <si>
    <t>Border Crossing</t>
  </si>
  <si>
    <t>Chandigarh</t>
  </si>
  <si>
    <t>Rock Garden</t>
  </si>
  <si>
    <t>Sculpture Garden</t>
  </si>
  <si>
    <t>Kerala</t>
  </si>
  <si>
    <t>Alappuzha</t>
  </si>
  <si>
    <t>Alappuzha Beach</t>
  </si>
  <si>
    <t>Munnar</t>
  </si>
  <si>
    <t>Munnar Tea Gardens</t>
  </si>
  <si>
    <t>Scenic Area</t>
  </si>
  <si>
    <t>Kochi</t>
  </si>
  <si>
    <t>Fort Kochi</t>
  </si>
  <si>
    <t>Thiruvananthapuram</t>
  </si>
  <si>
    <t>Padmanabhaswamy Temple</t>
  </si>
  <si>
    <t>Kozhikode</t>
  </si>
  <si>
    <t>Kozhikode Beach</t>
  </si>
  <si>
    <t>Wayanad</t>
  </si>
  <si>
    <t>Wayanad Wildlife Sanctuary</t>
  </si>
  <si>
    <t>Thekkady</t>
  </si>
  <si>
    <t>Periyar National Park</t>
  </si>
  <si>
    <t>Kumarakom</t>
  </si>
  <si>
    <t>Kumarakom Bird Sanctuary</t>
  </si>
  <si>
    <t>Varkala</t>
  </si>
  <si>
    <t>Varkala Beach</t>
  </si>
  <si>
    <t>Bekal</t>
  </si>
  <si>
    <t>Bekal Fort</t>
  </si>
  <si>
    <t>Kovalam</t>
  </si>
  <si>
    <t>Kovalam Beach</t>
  </si>
  <si>
    <t>Kannur</t>
  </si>
  <si>
    <t>St. Angelo Fort</t>
  </si>
  <si>
    <t>Nelliyampathy</t>
  </si>
  <si>
    <t>Seethargundu Viewpoint</t>
  </si>
  <si>
    <t>Viewpoint</t>
  </si>
  <si>
    <t>Kerala Folklore Museum</t>
  </si>
  <si>
    <t>Wonderla Amusement Park</t>
  </si>
  <si>
    <t>Mysore</t>
  </si>
  <si>
    <t>Mysore Palace</t>
  </si>
  <si>
    <t>Hampi</t>
  </si>
  <si>
    <t>Hampi Archaeological Ruins</t>
  </si>
  <si>
    <t>Coorg</t>
  </si>
  <si>
    <t>Abbey Falls</t>
  </si>
  <si>
    <t>Gokarna</t>
  </si>
  <si>
    <t>Om Beach</t>
  </si>
  <si>
    <t>Chikmagalur</t>
  </si>
  <si>
    <t>Mullayanagiri</t>
  </si>
  <si>
    <t>Mountain Peak</t>
  </si>
  <si>
    <t>Badami</t>
  </si>
  <si>
    <t>Badami Cave Temples</t>
  </si>
  <si>
    <t>Cave</t>
  </si>
  <si>
    <t>Shivamogga</t>
  </si>
  <si>
    <t>Jog Falls</t>
  </si>
  <si>
    <t>Mangalore</t>
  </si>
  <si>
    <t>Panambur Beach</t>
  </si>
  <si>
    <t>Murudeshwar</t>
  </si>
  <si>
    <t>Murudeshwar Temple</t>
  </si>
  <si>
    <t>Bijapur</t>
  </si>
  <si>
    <t>Gol Gumbaz</t>
  </si>
  <si>
    <t>Mausoleum</t>
  </si>
  <si>
    <t>Bandipur</t>
  </si>
  <si>
    <t>Bandipur National Park</t>
  </si>
  <si>
    <t>Halebidu</t>
  </si>
  <si>
    <t>Halebidu Hoysaleswara Temple</t>
  </si>
  <si>
    <t>Pune</t>
  </si>
  <si>
    <t>Shaniwar Wada</t>
  </si>
  <si>
    <t>Aurangabad</t>
  </si>
  <si>
    <t>Ajanta Caves</t>
  </si>
  <si>
    <t>Nashik</t>
  </si>
  <si>
    <t>Sula Vineyards</t>
  </si>
  <si>
    <t>Vineyard</t>
  </si>
  <si>
    <t>Shirdi</t>
  </si>
  <si>
    <t>Sai Baba Temple</t>
  </si>
  <si>
    <t>Alibaug</t>
  </si>
  <si>
    <t>Alibaug Beach</t>
  </si>
  <si>
    <t>Ratnagiri</t>
  </si>
  <si>
    <t>Ganapatipule Temple</t>
  </si>
  <si>
    <t>Nagpur</t>
  </si>
  <si>
    <t>Deekshabhoomi</t>
  </si>
  <si>
    <t>Kolhapur</t>
  </si>
  <si>
    <t>Mahalakshmi Temple</t>
  </si>
  <si>
    <t>Karla Caves</t>
  </si>
  <si>
    <t>Maharashtra</t>
  </si>
  <si>
    <t>Tarkarli</t>
  </si>
  <si>
    <t>Tarkarli Beach</t>
  </si>
  <si>
    <t>Satara</t>
  </si>
  <si>
    <t>Kaas Plateau</t>
  </si>
  <si>
    <t>Valley</t>
  </si>
  <si>
    <t>Matheran</t>
  </si>
  <si>
    <t>Echo Point</t>
  </si>
  <si>
    <t>Ajanta</t>
  </si>
  <si>
    <t>Ellora Caves</t>
  </si>
  <si>
    <t>Tuesday</t>
  </si>
  <si>
    <t>Central</t>
  </si>
  <si>
    <t>Madhya Pradesh</t>
  </si>
  <si>
    <t>Khajuraho</t>
  </si>
  <si>
    <t>Khajuraho Group of Monuments</t>
  </si>
  <si>
    <t>Temples</t>
  </si>
  <si>
    <t>Bhopal</t>
  </si>
  <si>
    <t>Sanchi Stupa</t>
  </si>
  <si>
    <t>Indore</t>
  </si>
  <si>
    <t>Rajwada Palace</t>
  </si>
  <si>
    <t>Gwalior</t>
  </si>
  <si>
    <t>Gwalior Fort</t>
  </si>
  <si>
    <t>Ujjain</t>
  </si>
  <si>
    <t>Mahakaleshwar Jyotirlinga</t>
  </si>
  <si>
    <t>Jabalpur</t>
  </si>
  <si>
    <t>Dhuandhar Falls</t>
  </si>
  <si>
    <t>Pachmarhi</t>
  </si>
  <si>
    <t>Bee Falls</t>
  </si>
  <si>
    <t>Kanha</t>
  </si>
  <si>
    <t>Kanha National Park</t>
  </si>
  <si>
    <t>Bandhavgarh</t>
  </si>
  <si>
    <t>Bandhavgarh National Park</t>
  </si>
  <si>
    <t>Orchha</t>
  </si>
  <si>
    <t>Orchha Fort</t>
  </si>
  <si>
    <t>Mandu</t>
  </si>
  <si>
    <t>Jahaz Mahal</t>
  </si>
  <si>
    <t>Bhimbetka</t>
  </si>
  <si>
    <t>Bhimbetka Rock Shelters</t>
  </si>
  <si>
    <t>Prehistoric Site</t>
  </si>
  <si>
    <t>Archaeological</t>
  </si>
  <si>
    <t>Amarkantak</t>
  </si>
  <si>
    <t>Narmada Udgam Temple</t>
  </si>
  <si>
    <t>Chitrakoot</t>
  </si>
  <si>
    <t>Chitrakoot Falls</t>
  </si>
  <si>
    <t>Himachal Pradesh</t>
  </si>
  <si>
    <t>Shimla</t>
  </si>
  <si>
    <t>The Ridge</t>
  </si>
  <si>
    <t>Scenic Point</t>
  </si>
  <si>
    <t>Manali</t>
  </si>
  <si>
    <t>Solang Valley</t>
  </si>
  <si>
    <t>Adventure</t>
  </si>
  <si>
    <t>dalhousie</t>
  </si>
  <si>
    <t>Dalai Lama Temple</t>
  </si>
  <si>
    <t>Dalhousie</t>
  </si>
  <si>
    <t>Khajjiar Lake</t>
  </si>
  <si>
    <t>Spiti Valley</t>
  </si>
  <si>
    <t>Key Monastery</t>
  </si>
  <si>
    <t>Monastery</t>
  </si>
  <si>
    <t>Kullu</t>
  </si>
  <si>
    <t>Great Himalayan National Park</t>
  </si>
  <si>
    <t>Chamba</t>
  </si>
  <si>
    <t>Chamera Lake</t>
  </si>
  <si>
    <t>Kinnaur</t>
  </si>
  <si>
    <t>Sangla Valley</t>
  </si>
  <si>
    <t>Kangra</t>
  </si>
  <si>
    <t>Kangra Fort</t>
  </si>
  <si>
    <t>Palampur</t>
  </si>
  <si>
    <t>Tea Gardens</t>
  </si>
  <si>
    <t>Tea Plantation</t>
  </si>
  <si>
    <t>Agricultural</t>
  </si>
  <si>
    <t>Mandi</t>
  </si>
  <si>
    <t>Prashar Lake</t>
  </si>
  <si>
    <t>Bir Billing</t>
  </si>
  <si>
    <t>Paragliding Site</t>
  </si>
  <si>
    <t>Adventure Sport</t>
  </si>
  <si>
    <t>McLeod Ganj</t>
  </si>
  <si>
    <t>Triund Trek</t>
  </si>
  <si>
    <t>Trekking</t>
  </si>
  <si>
    <t>Manikaran</t>
  </si>
  <si>
    <t>Manikaran Sahib</t>
  </si>
  <si>
    <t>Gurudwara</t>
  </si>
  <si>
    <t>Narkanda</t>
  </si>
  <si>
    <t>Hatu Peak</t>
  </si>
  <si>
    <t>Barot</t>
  </si>
  <si>
    <t>Barot Valley</t>
  </si>
  <si>
    <t>Shoja</t>
  </si>
  <si>
    <t>Serolsar Lake</t>
  </si>
  <si>
    <t>Kufri</t>
  </si>
  <si>
    <t>Kufri Fun World</t>
  </si>
  <si>
    <t>Ski Resort</t>
  </si>
  <si>
    <t>Uttarakhand</t>
  </si>
  <si>
    <t>Nainital</t>
  </si>
  <si>
    <t>Naini Lake</t>
  </si>
  <si>
    <t>Rishikesh</t>
  </si>
  <si>
    <t>Laxman Jhula</t>
  </si>
  <si>
    <t>Suspension Bridge</t>
  </si>
  <si>
    <t>Haridwar</t>
  </si>
  <si>
    <t>Har Ki Pauri</t>
  </si>
  <si>
    <t>Ghat</t>
  </si>
  <si>
    <t>Dehradun</t>
  </si>
  <si>
    <t>Robber's Cave</t>
  </si>
  <si>
    <t>Mussoorie</t>
  </si>
  <si>
    <t>Kempty Falls</t>
  </si>
  <si>
    <t>Auli</t>
  </si>
  <si>
    <t>Auli Ski Resort</t>
  </si>
  <si>
    <t>Badrinath</t>
  </si>
  <si>
    <t>Badrinath Temple</t>
  </si>
  <si>
    <t>Almora</t>
  </si>
  <si>
    <t>Binsar Wildlife Sanctuary</t>
  </si>
  <si>
    <t>Ranikhet</t>
  </si>
  <si>
    <t>Chaubatia Gardens</t>
  </si>
  <si>
    <t>Orchard</t>
  </si>
  <si>
    <t>Jim Corbett</t>
  </si>
  <si>
    <t>Jim Corbett National Park</t>
  </si>
  <si>
    <t>Uttarkashi</t>
  </si>
  <si>
    <t>Gangotri Temple</t>
  </si>
  <si>
    <t>Chopta</t>
  </si>
  <si>
    <t>Tungnath Temple</t>
  </si>
  <si>
    <t>Joshimath</t>
  </si>
  <si>
    <t>Valley of Flowers</t>
  </si>
  <si>
    <t>Uttar Pradesh</t>
  </si>
  <si>
    <t>Agra</t>
  </si>
  <si>
    <t>Taj Mahal</t>
  </si>
  <si>
    <t>Varanasi</t>
  </si>
  <si>
    <t>Kashi Vishwanath Temple</t>
  </si>
  <si>
    <t>Lucknow</t>
  </si>
  <si>
    <t>Bara Imambara</t>
  </si>
  <si>
    <t>Mathura</t>
  </si>
  <si>
    <t>Krishna Janmabhoomi</t>
  </si>
  <si>
    <t>Ayodhya</t>
  </si>
  <si>
    <t>Ram Janmabhoomi</t>
  </si>
  <si>
    <t>Vrindavan</t>
  </si>
  <si>
    <t>Banke Bihari Temple</t>
  </si>
  <si>
    <t>Allahabad</t>
  </si>
  <si>
    <t>Triveni Sangam</t>
  </si>
  <si>
    <t>Confluence</t>
  </si>
  <si>
    <t>Jhansi</t>
  </si>
  <si>
    <t>Jhansi Fort</t>
  </si>
  <si>
    <t>Sarnath</t>
  </si>
  <si>
    <t>Dhamek Stupa</t>
  </si>
  <si>
    <t>Fatehpur Sikri</t>
  </si>
  <si>
    <t>Buland Darwaza</t>
  </si>
  <si>
    <t>Noida</t>
  </si>
  <si>
    <t>Okhla Bird Sanctuary</t>
  </si>
  <si>
    <t>Aligarh</t>
  </si>
  <si>
    <t>Aligarh Fort</t>
  </si>
  <si>
    <t>Meerut</t>
  </si>
  <si>
    <t>Augarnath Temple</t>
  </si>
  <si>
    <t>Kanpur</t>
  </si>
  <si>
    <t>Allen Forest Zoo</t>
  </si>
  <si>
    <t>Jammu and Kashmir</t>
  </si>
  <si>
    <t>Srinagar</t>
  </si>
  <si>
    <t>Dal Lake</t>
  </si>
  <si>
    <t>Ladakh</t>
  </si>
  <si>
    <t>Leh</t>
  </si>
  <si>
    <t>Pangong Tso</t>
  </si>
  <si>
    <t>Pahalgam</t>
  </si>
  <si>
    <t>Betaab Valley</t>
  </si>
  <si>
    <t>Jammu</t>
  </si>
  <si>
    <t>Vaishno Devi</t>
  </si>
  <si>
    <t>Udhampur</t>
  </si>
  <si>
    <t>Patnitop Height</t>
  </si>
  <si>
    <t>Hill</t>
  </si>
  <si>
    <t>Anantnag</t>
  </si>
  <si>
    <t>Amarnath Cave</t>
  </si>
  <si>
    <t>Thiksey Monastery</t>
  </si>
  <si>
    <t>Nubra Valley</t>
  </si>
  <si>
    <t>Kargil</t>
  </si>
  <si>
    <t>Kargil War Memorial</t>
  </si>
  <si>
    <t>Diskit</t>
  </si>
  <si>
    <t>Diskit Monastery</t>
  </si>
  <si>
    <t>Kishtwar</t>
  </si>
  <si>
    <t>Kishtwar National Park</t>
  </si>
  <si>
    <t>Hemis</t>
  </si>
  <si>
    <t>Hemis National Park</t>
  </si>
  <si>
    <t>Dras</t>
  </si>
  <si>
    <t>Dras War Memorial</t>
  </si>
  <si>
    <t>Magnetic Hill</t>
  </si>
  <si>
    <t>Gravity Hill</t>
  </si>
  <si>
    <t>Khardung La Pass</t>
  </si>
  <si>
    <t>Prem Mandir</t>
  </si>
  <si>
    <t>Porbandar</t>
  </si>
  <si>
    <t>Kirti Mandir</t>
  </si>
  <si>
    <t>Nand Gaon</t>
  </si>
  <si>
    <t>Village</t>
  </si>
  <si>
    <t>Barsana Mandir</t>
  </si>
  <si>
    <t>Darjeeling</t>
  </si>
  <si>
    <t>Tiger Hill</t>
  </si>
  <si>
    <t>Sunrise Point</t>
  </si>
  <si>
    <t>Siliguri</t>
  </si>
  <si>
    <t>Jaldapara National Park</t>
  </si>
  <si>
    <t>Sundarbans</t>
  </si>
  <si>
    <t>Sundarbans National Park</t>
  </si>
  <si>
    <t>Digha</t>
  </si>
  <si>
    <t>Digha Beach</t>
  </si>
  <si>
    <t>Murshidabad</t>
  </si>
  <si>
    <t>Hazarduari Palace</t>
  </si>
  <si>
    <t>Bolpur</t>
  </si>
  <si>
    <t>Kankalitala Temple</t>
  </si>
  <si>
    <t>Hooghly</t>
  </si>
  <si>
    <t>Hangseswari Temple</t>
  </si>
  <si>
    <t>Jalpaiguri</t>
  </si>
  <si>
    <t>Gorumara National Park</t>
  </si>
  <si>
    <t>Cooch Behar</t>
  </si>
  <si>
    <t>Cooch Behar Palace</t>
  </si>
  <si>
    <t>Purulia</t>
  </si>
  <si>
    <t>Ayodhya Hills</t>
  </si>
  <si>
    <t>Odisha</t>
  </si>
  <si>
    <t>Puri</t>
  </si>
  <si>
    <t>Jagannath Temple</t>
  </si>
  <si>
    <t>12th century</t>
  </si>
  <si>
    <t>Konark</t>
  </si>
  <si>
    <t>Sun Temple</t>
  </si>
  <si>
    <t>Bhubaneswar</t>
  </si>
  <si>
    <t>Lingaraj Temple</t>
  </si>
  <si>
    <t>11th century</t>
  </si>
  <si>
    <t>Rourkela</t>
  </si>
  <si>
    <t>Khandadhar Waterfall</t>
  </si>
  <si>
    <t>Cuttack</t>
  </si>
  <si>
    <t>Barabati Fort</t>
  </si>
  <si>
    <t>Sambalpur</t>
  </si>
  <si>
    <t>Hirakud Dam</t>
  </si>
  <si>
    <t>Dam</t>
  </si>
  <si>
    <t>Engineering Marvel</t>
  </si>
  <si>
    <t>Chilika</t>
  </si>
  <si>
    <t>Chilika Lake</t>
  </si>
  <si>
    <t>Berhampur</t>
  </si>
  <si>
    <t>Tara Tarini Temple</t>
  </si>
  <si>
    <t>Ancient</t>
  </si>
  <si>
    <t>Keonjhar</t>
  </si>
  <si>
    <t>Badaghagara Waterfall</t>
  </si>
  <si>
    <t>Balasore</t>
  </si>
  <si>
    <t>Chandipur Beach</t>
  </si>
  <si>
    <t>Kendujhar</t>
  </si>
  <si>
    <t>Sanaghagara Waterfall</t>
  </si>
  <si>
    <t>Tamil Nadu</t>
  </si>
  <si>
    <t>Chennai</t>
  </si>
  <si>
    <t>Marina Beach</t>
  </si>
  <si>
    <t>Madurai</t>
  </si>
  <si>
    <t>Meenakshi Amman Temple</t>
  </si>
  <si>
    <t>6th century AD</t>
  </si>
  <si>
    <t>Rameswaram</t>
  </si>
  <si>
    <t>Ramanathaswamy Temple</t>
  </si>
  <si>
    <t>Kanyakumari</t>
  </si>
  <si>
    <t>Vivekananda Rock Memorial</t>
  </si>
  <si>
    <t>Ooty</t>
  </si>
  <si>
    <t>Ooty Lake</t>
  </si>
  <si>
    <t>Coimbatore</t>
  </si>
  <si>
    <t>Marudamalai Temple</t>
  </si>
  <si>
    <t>Kodaikanal</t>
  </si>
  <si>
    <t>Kodaikanal Lake</t>
  </si>
  <si>
    <t>Thanjavur</t>
  </si>
  <si>
    <t>Brihadeeswarar Temple</t>
  </si>
  <si>
    <t>Mahabalipuram</t>
  </si>
  <si>
    <t>Shore Temple</t>
  </si>
  <si>
    <t>7th century</t>
  </si>
  <si>
    <t>Yercaud</t>
  </si>
  <si>
    <t>Yercaud Lake</t>
  </si>
  <si>
    <t>Tirunelveli</t>
  </si>
  <si>
    <t>Nellaiappar Temple</t>
  </si>
  <si>
    <t>Chidambaram</t>
  </si>
  <si>
    <t>Nataraja Temple</t>
  </si>
  <si>
    <t>10th century</t>
  </si>
  <si>
    <t>Andhra Pradesh</t>
  </si>
  <si>
    <t>Vijayawada</t>
  </si>
  <si>
    <t>Kanaka Durga Temple</t>
  </si>
  <si>
    <t>Visakhapatnam</t>
  </si>
  <si>
    <t>Rishikonda Beach</t>
  </si>
  <si>
    <t>Srisailam</t>
  </si>
  <si>
    <t>Mallikarjuna Swamy Temple</t>
  </si>
  <si>
    <t>14th century</t>
  </si>
  <si>
    <t>Rajahmundry</t>
  </si>
  <si>
    <t>Papikondalu</t>
  </si>
  <si>
    <t>Anantapur</t>
  </si>
  <si>
    <t>Lepakshi</t>
  </si>
  <si>
    <t>16th century</t>
  </si>
  <si>
    <t>Kurnool</t>
  </si>
  <si>
    <t>Belum Caves</t>
  </si>
  <si>
    <t>Natural Wonder</t>
  </si>
  <si>
    <t>Amravati</t>
  </si>
  <si>
    <t>Amaravathi Temple</t>
  </si>
  <si>
    <t>Guntur</t>
  </si>
  <si>
    <t>Uppalapadu Bird Sanctuary</t>
  </si>
  <si>
    <t>Kadapa</t>
  </si>
  <si>
    <t>Gandikota Fort</t>
  </si>
  <si>
    <t>Puttaparthi</t>
  </si>
  <si>
    <t>Prasanthi Nilayam</t>
  </si>
  <si>
    <t>Spiritual Center</t>
  </si>
  <si>
    <t>Vizianagaram</t>
  </si>
  <si>
    <t>Simhachalam Temple</t>
  </si>
  <si>
    <t>Kailasagiri</t>
  </si>
  <si>
    <t>Submarine Museum</t>
  </si>
  <si>
    <t>Borra Caves</t>
  </si>
  <si>
    <t>Indira Gandhi Zoological Park</t>
  </si>
  <si>
    <t>Matsyadarshini Aquarium</t>
  </si>
  <si>
    <t>Aquarium</t>
  </si>
  <si>
    <t>Visakha Museum</t>
  </si>
  <si>
    <t>Sikkim</t>
  </si>
  <si>
    <t>Gangtok</t>
  </si>
  <si>
    <t>Nathula Pass</t>
  </si>
  <si>
    <t>Pelling</t>
  </si>
  <si>
    <t>Pemayangtse Monastery</t>
  </si>
  <si>
    <t>Namchi</t>
  </si>
  <si>
    <t>Char Dham</t>
  </si>
  <si>
    <t>Religious Complex</t>
  </si>
  <si>
    <t>Rumtek Monastery</t>
  </si>
  <si>
    <t>1960s</t>
  </si>
  <si>
    <t>Ravangla</t>
  </si>
  <si>
    <t>Buddha Park</t>
  </si>
  <si>
    <t>Baba Harbhajan Singh Temple</t>
  </si>
  <si>
    <t>Tsomgo Lake</t>
  </si>
  <si>
    <t>North Eastern</t>
  </si>
  <si>
    <t>Assam</t>
  </si>
  <si>
    <t>Guwahati</t>
  </si>
  <si>
    <t>Kamakhya Temple</t>
  </si>
  <si>
    <t>Kaziranga</t>
  </si>
  <si>
    <t>Kaziranga National Park</t>
  </si>
  <si>
    <t>Umananda Island</t>
  </si>
  <si>
    <t>Island</t>
  </si>
  <si>
    <t>Sivasagar</t>
  </si>
  <si>
    <t>Sivasagar Sivadol</t>
  </si>
  <si>
    <t>Majuli</t>
  </si>
  <si>
    <t>Majuli Island</t>
  </si>
  <si>
    <t>River Island</t>
  </si>
  <si>
    <t>Manas</t>
  </si>
  <si>
    <t>Manas National Park</t>
  </si>
  <si>
    <t>Hajo</t>
  </si>
  <si>
    <t>Hayagriva Madhava Temple</t>
  </si>
  <si>
    <t>Pobitora Wildlife Sanctuary</t>
  </si>
  <si>
    <t>Arunachal Pradesh</t>
  </si>
  <si>
    <t>Tawang</t>
  </si>
  <si>
    <t>Tawang Monastery</t>
  </si>
  <si>
    <t>Tripura</t>
  </si>
  <si>
    <t>Agartala</t>
  </si>
  <si>
    <t>Ujjayanta Palace</t>
  </si>
  <si>
    <t>Dumboor</t>
  </si>
  <si>
    <t>Dumboor Lake</t>
  </si>
  <si>
    <t>Unakoti</t>
  </si>
  <si>
    <t>Unakoti Rock Carvings</t>
  </si>
  <si>
    <t>Rock Carvings</t>
  </si>
  <si>
    <t>Chhattisgarh</t>
  </si>
  <si>
    <t>Bastar</t>
  </si>
  <si>
    <t>Chitrakote Falls</t>
  </si>
  <si>
    <t>Nagaland</t>
  </si>
  <si>
    <t>DzÃ¼kou Valley</t>
  </si>
  <si>
    <t>Puducherry</t>
  </si>
  <si>
    <t>Promenade Beach</t>
  </si>
  <si>
    <t>Auroville</t>
  </si>
  <si>
    <t>Township</t>
  </si>
  <si>
    <t>Paradise Beach</t>
  </si>
  <si>
    <t>Andaman and Nicobar Islands</t>
  </si>
  <si>
    <t>Port Blair</t>
  </si>
  <si>
    <t>Cellular Jail</t>
  </si>
  <si>
    <t>Havelock Island</t>
  </si>
  <si>
    <t>Radhanagar Beach</t>
  </si>
  <si>
    <t>Neil Island</t>
  </si>
  <si>
    <t>Bharatpur Beach</t>
  </si>
  <si>
    <t>Baratang Island</t>
  </si>
  <si>
    <t>Limestone Caves</t>
  </si>
  <si>
    <t>Natural Feature</t>
  </si>
  <si>
    <t>Daman and Diu</t>
  </si>
  <si>
    <t>Diu</t>
  </si>
  <si>
    <t>Naida Caves</t>
  </si>
  <si>
    <t>Diu Fort</t>
  </si>
  <si>
    <t>Jharkhand</t>
  </si>
  <si>
    <t>Deoghar</t>
  </si>
  <si>
    <t>Baba Baidyanath Temple</t>
  </si>
  <si>
    <t>Ranchi</t>
  </si>
  <si>
    <t>Pahari Mandir</t>
  </si>
  <si>
    <t>Bihar</t>
  </si>
  <si>
    <t>Bodh Gaya</t>
  </si>
  <si>
    <t>Mahabodhi Temple</t>
  </si>
  <si>
    <t>Patna</t>
  </si>
  <si>
    <t>Sanjay Gandhi Biological Park</t>
  </si>
  <si>
    <t>Takhat Shri Harimandir Ji Patna Sahib</t>
  </si>
  <si>
    <t>Budhha Smriti Park</t>
  </si>
  <si>
    <t>Haryana</t>
  </si>
  <si>
    <t>Gurugram</t>
  </si>
  <si>
    <t>Kingdom of Dreams</t>
  </si>
  <si>
    <t>Ambience Mall</t>
  </si>
  <si>
    <t>Mall</t>
  </si>
  <si>
    <t>Shopping</t>
  </si>
  <si>
    <t>DLF CyberHub</t>
  </si>
  <si>
    <t>Commercial Complex</t>
  </si>
  <si>
    <t>New Delhi</t>
  </si>
  <si>
    <t>Gurudwara Bangla Sahib</t>
  </si>
  <si>
    <t>Kedarnath</t>
  </si>
  <si>
    <t>DLF Mall of India</t>
  </si>
  <si>
    <t>Greater Noida</t>
  </si>
  <si>
    <t>The Grand Venice Mall</t>
  </si>
  <si>
    <t>Bengaluru</t>
  </si>
  <si>
    <t>Nandankanan Zoological Park</t>
  </si>
  <si>
    <t>Orion Mall</t>
  </si>
  <si>
    <t>Inorbit Mall Cyberabad</t>
  </si>
  <si>
    <t>Jama Masjid</t>
  </si>
  <si>
    <t>Mosque</t>
  </si>
  <si>
    <t>Buddh International Circuit</t>
  </si>
  <si>
    <t>Race Track</t>
  </si>
  <si>
    <t>Phoenix Palassio</t>
  </si>
  <si>
    <t>LuLu International Shopping Mall</t>
  </si>
  <si>
    <t>Rail Museum</t>
  </si>
  <si>
    <t>Meghalaya</t>
  </si>
  <si>
    <t>Cherrapunji</t>
  </si>
  <si>
    <t>Living Root Bridge</t>
  </si>
  <si>
    <t>Akshardham</t>
  </si>
  <si>
    <t>Agra Fort</t>
  </si>
  <si>
    <t>Madhya Pradesh Tribal Museum</t>
  </si>
  <si>
    <t>Albert Hall Museum</t>
  </si>
  <si>
    <t>Row Labels</t>
  </si>
  <si>
    <t>Grand Total</t>
  </si>
  <si>
    <t>Count of Name</t>
  </si>
  <si>
    <t>Average of Google review rating</t>
  </si>
  <si>
    <t>Sum of Number of google review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</si>
</sst>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FF66"/>
      <color rgb="FF948D04"/>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Dashboard.xlsx]Kpi!PivotTable4</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55511811023624"/>
          <c:y val="0.17536745406824147"/>
          <c:w val="0.50735673665791781"/>
          <c:h val="0.71760352872557598"/>
        </c:manualLayout>
      </c:layout>
      <c:barChart>
        <c:barDir val="bar"/>
        <c:grouping val="clustered"/>
        <c:varyColors val="0"/>
        <c:ser>
          <c:idx val="0"/>
          <c:order val="0"/>
          <c:tx>
            <c:strRef>
              <c:f>Kpi!$B$4</c:f>
              <c:strCache>
                <c:ptCount val="1"/>
                <c:pt idx="0">
                  <c:v>Total</c:v>
                </c:pt>
              </c:strCache>
            </c:strRef>
          </c:tx>
          <c:spPr>
            <a:solidFill>
              <a:schemeClr val="accent2"/>
            </a:solidFill>
            <a:ln>
              <a:noFill/>
            </a:ln>
            <a:effectLst/>
          </c:spPr>
          <c:invertIfNegative val="0"/>
          <c:cat>
            <c:strRef>
              <c:f>Kpi!$A$5:$A$38</c:f>
              <c:strCache>
                <c:ptCount val="33"/>
                <c:pt idx="0">
                  <c:v>Andaman and Nicobar Islands</c:v>
                </c:pt>
                <c:pt idx="1">
                  <c:v>Andhra Pradesh</c:v>
                </c:pt>
                <c:pt idx="2">
                  <c:v>Arunachal Pradesh</c:v>
                </c:pt>
                <c:pt idx="3">
                  <c:v>Assam</c:v>
                </c:pt>
                <c:pt idx="4">
                  <c:v>Bihar</c:v>
                </c:pt>
                <c:pt idx="5">
                  <c:v>Chhattisgarh</c:v>
                </c:pt>
                <c:pt idx="6">
                  <c:v>Daman and Diu</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Maharastra</c:v>
                </c:pt>
                <c:pt idx="20">
                  <c:v>Meghalaya</c:v>
                </c:pt>
                <c:pt idx="21">
                  <c:v>Nagaland</c:v>
                </c:pt>
                <c:pt idx="22">
                  <c:v>Odisha</c:v>
                </c:pt>
                <c:pt idx="23">
                  <c:v>Puducherry</c:v>
                </c:pt>
                <c:pt idx="24">
                  <c:v>Punjab</c:v>
                </c:pt>
                <c:pt idx="25">
                  <c:v>Rajasthan</c:v>
                </c:pt>
                <c:pt idx="26">
                  <c:v>Sikkim</c:v>
                </c:pt>
                <c:pt idx="27">
                  <c:v>Tamil Nadu</c:v>
                </c:pt>
                <c:pt idx="28">
                  <c:v>Telangana</c:v>
                </c:pt>
                <c:pt idx="29">
                  <c:v>Tripura</c:v>
                </c:pt>
                <c:pt idx="30">
                  <c:v>Uttar Pradesh</c:v>
                </c:pt>
                <c:pt idx="31">
                  <c:v>Uttarakhand</c:v>
                </c:pt>
                <c:pt idx="32">
                  <c:v>West Bengal</c:v>
                </c:pt>
              </c:strCache>
            </c:strRef>
          </c:cat>
          <c:val>
            <c:numRef>
              <c:f>Kpi!$B$5:$B$38</c:f>
              <c:numCache>
                <c:formatCode>General</c:formatCode>
                <c:ptCount val="33"/>
                <c:pt idx="0">
                  <c:v>4</c:v>
                </c:pt>
                <c:pt idx="1">
                  <c:v>18</c:v>
                </c:pt>
                <c:pt idx="2">
                  <c:v>1</c:v>
                </c:pt>
                <c:pt idx="3">
                  <c:v>8</c:v>
                </c:pt>
                <c:pt idx="4">
                  <c:v>4</c:v>
                </c:pt>
                <c:pt idx="5">
                  <c:v>1</c:v>
                </c:pt>
                <c:pt idx="6">
                  <c:v>2</c:v>
                </c:pt>
                <c:pt idx="7">
                  <c:v>19</c:v>
                </c:pt>
                <c:pt idx="8">
                  <c:v>14</c:v>
                </c:pt>
                <c:pt idx="9">
                  <c:v>14</c:v>
                </c:pt>
                <c:pt idx="10">
                  <c:v>3</c:v>
                </c:pt>
                <c:pt idx="11">
                  <c:v>18</c:v>
                </c:pt>
                <c:pt idx="12">
                  <c:v>6</c:v>
                </c:pt>
                <c:pt idx="13">
                  <c:v>2</c:v>
                </c:pt>
                <c:pt idx="14">
                  <c:v>19</c:v>
                </c:pt>
                <c:pt idx="15">
                  <c:v>16</c:v>
                </c:pt>
                <c:pt idx="16">
                  <c:v>10</c:v>
                </c:pt>
                <c:pt idx="17">
                  <c:v>15</c:v>
                </c:pt>
                <c:pt idx="18">
                  <c:v>4</c:v>
                </c:pt>
                <c:pt idx="19">
                  <c:v>20</c:v>
                </c:pt>
                <c:pt idx="20">
                  <c:v>1</c:v>
                </c:pt>
                <c:pt idx="21">
                  <c:v>1</c:v>
                </c:pt>
                <c:pt idx="22">
                  <c:v>12</c:v>
                </c:pt>
                <c:pt idx="23">
                  <c:v>3</c:v>
                </c:pt>
                <c:pt idx="24">
                  <c:v>4</c:v>
                </c:pt>
                <c:pt idx="25">
                  <c:v>15</c:v>
                </c:pt>
                <c:pt idx="26">
                  <c:v>7</c:v>
                </c:pt>
                <c:pt idx="27">
                  <c:v>13</c:v>
                </c:pt>
                <c:pt idx="28">
                  <c:v>11</c:v>
                </c:pt>
                <c:pt idx="29">
                  <c:v>3</c:v>
                </c:pt>
                <c:pt idx="30">
                  <c:v>23</c:v>
                </c:pt>
                <c:pt idx="31">
                  <c:v>14</c:v>
                </c:pt>
                <c:pt idx="32">
                  <c:v>20</c:v>
                </c:pt>
              </c:numCache>
            </c:numRef>
          </c:val>
          <c:extLst>
            <c:ext xmlns:c16="http://schemas.microsoft.com/office/drawing/2014/chart" uri="{C3380CC4-5D6E-409C-BE32-E72D297353CC}">
              <c16:uniqueId val="{00000000-6664-4C6A-A35D-FBBDDD1518EA}"/>
            </c:ext>
          </c:extLst>
        </c:ser>
        <c:dLbls>
          <c:showLegendKey val="0"/>
          <c:showVal val="0"/>
          <c:showCatName val="0"/>
          <c:showSerName val="0"/>
          <c:showPercent val="0"/>
          <c:showBubbleSize val="0"/>
        </c:dLbls>
        <c:gapWidth val="182"/>
        <c:axId val="1659836016"/>
        <c:axId val="1659837936"/>
      </c:barChart>
      <c:catAx>
        <c:axId val="165983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37936"/>
        <c:crosses val="autoZero"/>
        <c:auto val="1"/>
        <c:lblAlgn val="ctr"/>
        <c:lblOffset val="100"/>
        <c:noMultiLvlLbl val="0"/>
      </c:catAx>
      <c:valAx>
        <c:axId val="165983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3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Dashboard.xlsx]Kpi!PivotTable5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539192977484"/>
          <c:y val="0.2111180247713583"/>
          <c:w val="0.68869801486882354"/>
          <c:h val="0.35781198607777009"/>
        </c:manualLayout>
      </c:layout>
      <c:barChart>
        <c:barDir val="col"/>
        <c:grouping val="clustered"/>
        <c:varyColors val="0"/>
        <c:ser>
          <c:idx val="0"/>
          <c:order val="0"/>
          <c:tx>
            <c:strRef>
              <c:f>Kpi!$E$4</c:f>
              <c:strCache>
                <c:ptCount val="1"/>
                <c:pt idx="0">
                  <c:v>Total</c:v>
                </c:pt>
              </c:strCache>
            </c:strRef>
          </c:tx>
          <c:spPr>
            <a:solidFill>
              <a:schemeClr val="accent2"/>
            </a:solidFill>
            <a:ln>
              <a:noFill/>
            </a:ln>
            <a:effectLst/>
          </c:spPr>
          <c:invertIfNegative val="0"/>
          <c:cat>
            <c:strRef>
              <c:f>Kpi!$D$5:$D$83</c:f>
              <c:strCache>
                <c:ptCount val="78"/>
                <c:pt idx="0">
                  <c:v>Adventure Sport</c:v>
                </c:pt>
                <c:pt idx="1">
                  <c:v>Amusement Park</c:v>
                </c:pt>
                <c:pt idx="2">
                  <c:v>Aquarium</c:v>
                </c:pt>
                <c:pt idx="3">
                  <c:v>Beach</c:v>
                </c:pt>
                <c:pt idx="4">
                  <c:v>Bird Sanctuary</c:v>
                </c:pt>
                <c:pt idx="5">
                  <c:v>Border Crossing</c:v>
                </c:pt>
                <c:pt idx="6">
                  <c:v>Botanical Garden</c:v>
                </c:pt>
                <c:pt idx="7">
                  <c:v>Bridge</c:v>
                </c:pt>
                <c:pt idx="8">
                  <c:v>Cave</c:v>
                </c:pt>
                <c:pt idx="9">
                  <c:v>Church</c:v>
                </c:pt>
                <c:pt idx="10">
                  <c:v>Commercial Complex</c:v>
                </c:pt>
                <c:pt idx="11">
                  <c:v>Confluence</c:v>
                </c:pt>
                <c:pt idx="12">
                  <c:v>Cricket Ground</c:v>
                </c:pt>
                <c:pt idx="13">
                  <c:v>Cultural</c:v>
                </c:pt>
                <c:pt idx="14">
                  <c:v>Dam</c:v>
                </c:pt>
                <c:pt idx="15">
                  <c:v>Entertainment</c:v>
                </c:pt>
                <c:pt idx="16">
                  <c:v>Film Studio</c:v>
                </c:pt>
                <c:pt idx="17">
                  <c:v>Fort</c:v>
                </c:pt>
                <c:pt idx="18">
                  <c:v>Ghat</c:v>
                </c:pt>
                <c:pt idx="19">
                  <c:v>Government Building</c:v>
                </c:pt>
                <c:pt idx="20">
                  <c:v>Gravity Hill</c:v>
                </c:pt>
                <c:pt idx="21">
                  <c:v>Gurudwara</c:v>
                </c:pt>
                <c:pt idx="22">
                  <c:v>Hill</c:v>
                </c:pt>
                <c:pt idx="23">
                  <c:v>Historical</c:v>
                </c:pt>
                <c:pt idx="24">
                  <c:v>Island</c:v>
                </c:pt>
                <c:pt idx="25">
                  <c:v>Lake</c:v>
                </c:pt>
                <c:pt idx="26">
                  <c:v>Landmark</c:v>
                </c:pt>
                <c:pt idx="27">
                  <c:v>Mall</c:v>
                </c:pt>
                <c:pt idx="28">
                  <c:v>Market</c:v>
                </c:pt>
                <c:pt idx="29">
                  <c:v>Mausoleum</c:v>
                </c:pt>
                <c:pt idx="30">
                  <c:v>Memorial</c:v>
                </c:pt>
                <c:pt idx="31">
                  <c:v>Monastery</c:v>
                </c:pt>
                <c:pt idx="32">
                  <c:v>Monument</c:v>
                </c:pt>
                <c:pt idx="33">
                  <c:v>Mosque</c:v>
                </c:pt>
                <c:pt idx="34">
                  <c:v>Mountain Peak</c:v>
                </c:pt>
                <c:pt idx="35">
                  <c:v>Museum</c:v>
                </c:pt>
                <c:pt idx="36">
                  <c:v>National Park</c:v>
                </c:pt>
                <c:pt idx="37">
                  <c:v>Natural Feature</c:v>
                </c:pt>
                <c:pt idx="38">
                  <c:v>Observatory</c:v>
                </c:pt>
                <c:pt idx="39">
                  <c:v>Orchard</c:v>
                </c:pt>
                <c:pt idx="40">
                  <c:v>Palace</c:v>
                </c:pt>
                <c:pt idx="41">
                  <c:v>Park</c:v>
                </c:pt>
                <c:pt idx="42">
                  <c:v>Prehistoric Site</c:v>
                </c:pt>
                <c:pt idx="43">
                  <c:v>Promenade</c:v>
                </c:pt>
                <c:pt idx="44">
                  <c:v>Race Track</c:v>
                </c:pt>
                <c:pt idx="45">
                  <c:v>Religious Complex</c:v>
                </c:pt>
                <c:pt idx="46">
                  <c:v>Religious Shrine</c:v>
                </c:pt>
                <c:pt idx="47">
                  <c:v>Religious Site</c:v>
                </c:pt>
                <c:pt idx="48">
                  <c:v>River Island</c:v>
                </c:pt>
                <c:pt idx="49">
                  <c:v>Rock Carvings</c:v>
                </c:pt>
                <c:pt idx="50">
                  <c:v>Scenic Area</c:v>
                </c:pt>
                <c:pt idx="51">
                  <c:v>Scenic Point</c:v>
                </c:pt>
                <c:pt idx="52">
                  <c:v>Science</c:v>
                </c:pt>
                <c:pt idx="53">
                  <c:v>Sculpture Garden</c:v>
                </c:pt>
                <c:pt idx="54">
                  <c:v>Shrine</c:v>
                </c:pt>
                <c:pt idx="55">
                  <c:v>Site</c:v>
                </c:pt>
                <c:pt idx="56">
                  <c:v>Ski Resort</c:v>
                </c:pt>
                <c:pt idx="57">
                  <c:v>Spiritual Center</c:v>
                </c:pt>
                <c:pt idx="58">
                  <c:v>Stepwell</c:v>
                </c:pt>
                <c:pt idx="59">
                  <c:v>Sunrise Point</c:v>
                </c:pt>
                <c:pt idx="60">
                  <c:v>Suspension Bridge</c:v>
                </c:pt>
                <c:pt idx="61">
                  <c:v>Tea Plantation</c:v>
                </c:pt>
                <c:pt idx="62">
                  <c:v>Temple</c:v>
                </c:pt>
                <c:pt idx="63">
                  <c:v>Temples</c:v>
                </c:pt>
                <c:pt idx="64">
                  <c:v>Theme Park</c:v>
                </c:pt>
                <c:pt idx="65">
                  <c:v>Tomb</c:v>
                </c:pt>
                <c:pt idx="66">
                  <c:v>Tombs</c:v>
                </c:pt>
                <c:pt idx="67">
                  <c:v>Township</c:v>
                </c:pt>
                <c:pt idx="68">
                  <c:v>Trekking</c:v>
                </c:pt>
                <c:pt idx="69">
                  <c:v>Urban Development Project</c:v>
                </c:pt>
                <c:pt idx="70">
                  <c:v>Valley</c:v>
                </c:pt>
                <c:pt idx="71">
                  <c:v>Viewpoint</c:v>
                </c:pt>
                <c:pt idx="72">
                  <c:v>Village</c:v>
                </c:pt>
                <c:pt idx="73">
                  <c:v>Vineyard</c:v>
                </c:pt>
                <c:pt idx="74">
                  <c:v>War Memorial</c:v>
                </c:pt>
                <c:pt idx="75">
                  <c:v>Waterfall</c:v>
                </c:pt>
                <c:pt idx="76">
                  <c:v>Wildlife Sanctuary</c:v>
                </c:pt>
                <c:pt idx="77">
                  <c:v>Zoo</c:v>
                </c:pt>
              </c:strCache>
            </c:strRef>
          </c:cat>
          <c:val>
            <c:numRef>
              <c:f>Kpi!$E$5:$E$83</c:f>
              <c:numCache>
                <c:formatCode>General</c:formatCode>
                <c:ptCount val="78"/>
                <c:pt idx="0">
                  <c:v>1</c:v>
                </c:pt>
                <c:pt idx="1">
                  <c:v>4</c:v>
                </c:pt>
                <c:pt idx="2">
                  <c:v>1</c:v>
                </c:pt>
                <c:pt idx="3">
                  <c:v>25</c:v>
                </c:pt>
                <c:pt idx="4">
                  <c:v>4</c:v>
                </c:pt>
                <c:pt idx="5">
                  <c:v>1</c:v>
                </c:pt>
                <c:pt idx="6">
                  <c:v>1</c:v>
                </c:pt>
                <c:pt idx="7">
                  <c:v>1</c:v>
                </c:pt>
                <c:pt idx="8">
                  <c:v>8</c:v>
                </c:pt>
                <c:pt idx="9">
                  <c:v>2</c:v>
                </c:pt>
                <c:pt idx="10">
                  <c:v>1</c:v>
                </c:pt>
                <c:pt idx="11">
                  <c:v>1</c:v>
                </c:pt>
                <c:pt idx="12">
                  <c:v>1</c:v>
                </c:pt>
                <c:pt idx="13">
                  <c:v>2</c:v>
                </c:pt>
                <c:pt idx="14">
                  <c:v>1</c:v>
                </c:pt>
                <c:pt idx="15">
                  <c:v>1</c:v>
                </c:pt>
                <c:pt idx="16">
                  <c:v>1</c:v>
                </c:pt>
                <c:pt idx="17">
                  <c:v>22</c:v>
                </c:pt>
                <c:pt idx="18">
                  <c:v>1</c:v>
                </c:pt>
                <c:pt idx="19">
                  <c:v>1</c:v>
                </c:pt>
                <c:pt idx="20">
                  <c:v>1</c:v>
                </c:pt>
                <c:pt idx="21">
                  <c:v>3</c:v>
                </c:pt>
                <c:pt idx="22">
                  <c:v>6</c:v>
                </c:pt>
                <c:pt idx="23">
                  <c:v>1</c:v>
                </c:pt>
                <c:pt idx="24">
                  <c:v>1</c:v>
                </c:pt>
                <c:pt idx="25">
                  <c:v>16</c:v>
                </c:pt>
                <c:pt idx="26">
                  <c:v>2</c:v>
                </c:pt>
                <c:pt idx="27">
                  <c:v>7</c:v>
                </c:pt>
                <c:pt idx="28">
                  <c:v>2</c:v>
                </c:pt>
                <c:pt idx="29">
                  <c:v>2</c:v>
                </c:pt>
                <c:pt idx="30">
                  <c:v>3</c:v>
                </c:pt>
                <c:pt idx="31">
                  <c:v>7</c:v>
                </c:pt>
                <c:pt idx="32">
                  <c:v>9</c:v>
                </c:pt>
                <c:pt idx="33">
                  <c:v>1</c:v>
                </c:pt>
                <c:pt idx="34">
                  <c:v>1</c:v>
                </c:pt>
                <c:pt idx="35">
                  <c:v>11</c:v>
                </c:pt>
                <c:pt idx="36">
                  <c:v>14</c:v>
                </c:pt>
                <c:pt idx="37">
                  <c:v>2</c:v>
                </c:pt>
                <c:pt idx="38">
                  <c:v>1</c:v>
                </c:pt>
                <c:pt idx="39">
                  <c:v>1</c:v>
                </c:pt>
                <c:pt idx="40">
                  <c:v>12</c:v>
                </c:pt>
                <c:pt idx="41">
                  <c:v>7</c:v>
                </c:pt>
                <c:pt idx="42">
                  <c:v>1</c:v>
                </c:pt>
                <c:pt idx="43">
                  <c:v>1</c:v>
                </c:pt>
                <c:pt idx="44">
                  <c:v>1</c:v>
                </c:pt>
                <c:pt idx="45">
                  <c:v>1</c:v>
                </c:pt>
                <c:pt idx="46">
                  <c:v>1</c:v>
                </c:pt>
                <c:pt idx="47">
                  <c:v>2</c:v>
                </c:pt>
                <c:pt idx="48">
                  <c:v>1</c:v>
                </c:pt>
                <c:pt idx="49">
                  <c:v>1</c:v>
                </c:pt>
                <c:pt idx="50">
                  <c:v>1</c:v>
                </c:pt>
                <c:pt idx="51">
                  <c:v>1</c:v>
                </c:pt>
                <c:pt idx="52">
                  <c:v>3</c:v>
                </c:pt>
                <c:pt idx="53">
                  <c:v>1</c:v>
                </c:pt>
                <c:pt idx="54">
                  <c:v>1</c:v>
                </c:pt>
                <c:pt idx="55">
                  <c:v>6</c:v>
                </c:pt>
                <c:pt idx="56">
                  <c:v>2</c:v>
                </c:pt>
                <c:pt idx="57">
                  <c:v>1</c:v>
                </c:pt>
                <c:pt idx="58">
                  <c:v>1</c:v>
                </c:pt>
                <c:pt idx="59">
                  <c:v>1</c:v>
                </c:pt>
                <c:pt idx="60">
                  <c:v>1</c:v>
                </c:pt>
                <c:pt idx="61">
                  <c:v>1</c:v>
                </c:pt>
                <c:pt idx="62">
                  <c:v>59</c:v>
                </c:pt>
                <c:pt idx="63">
                  <c:v>1</c:v>
                </c:pt>
                <c:pt idx="64">
                  <c:v>1</c:v>
                </c:pt>
                <c:pt idx="65">
                  <c:v>1</c:v>
                </c:pt>
                <c:pt idx="66">
                  <c:v>1</c:v>
                </c:pt>
                <c:pt idx="67">
                  <c:v>1</c:v>
                </c:pt>
                <c:pt idx="68">
                  <c:v>1</c:v>
                </c:pt>
                <c:pt idx="69">
                  <c:v>1</c:v>
                </c:pt>
                <c:pt idx="70">
                  <c:v>7</c:v>
                </c:pt>
                <c:pt idx="71">
                  <c:v>3</c:v>
                </c:pt>
                <c:pt idx="72">
                  <c:v>1</c:v>
                </c:pt>
                <c:pt idx="73">
                  <c:v>1</c:v>
                </c:pt>
                <c:pt idx="74">
                  <c:v>4</c:v>
                </c:pt>
                <c:pt idx="75">
                  <c:v>11</c:v>
                </c:pt>
                <c:pt idx="76">
                  <c:v>6</c:v>
                </c:pt>
                <c:pt idx="77">
                  <c:v>7</c:v>
                </c:pt>
              </c:numCache>
            </c:numRef>
          </c:val>
          <c:extLst>
            <c:ext xmlns:c16="http://schemas.microsoft.com/office/drawing/2014/chart" uri="{C3380CC4-5D6E-409C-BE32-E72D297353CC}">
              <c16:uniqueId val="{00000000-D995-4A3C-A398-AFD0F0DDA391}"/>
            </c:ext>
          </c:extLst>
        </c:ser>
        <c:dLbls>
          <c:showLegendKey val="0"/>
          <c:showVal val="0"/>
          <c:showCatName val="0"/>
          <c:showSerName val="0"/>
          <c:showPercent val="0"/>
          <c:showBubbleSize val="0"/>
        </c:dLbls>
        <c:gapWidth val="219"/>
        <c:overlap val="-27"/>
        <c:axId val="1886802112"/>
        <c:axId val="1886803552"/>
      </c:barChart>
      <c:catAx>
        <c:axId val="188680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03552"/>
        <c:crosses val="autoZero"/>
        <c:auto val="1"/>
        <c:lblAlgn val="ctr"/>
        <c:lblOffset val="100"/>
        <c:noMultiLvlLbl val="0"/>
      </c:catAx>
      <c:valAx>
        <c:axId val="18868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Dashboard.xlsx]Kpi!PivotTable6</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hade val="50000"/>
            </a:schemeClr>
          </a:solidFill>
          <a:ln w="19050">
            <a:solidFill>
              <a:schemeClr val="lt1"/>
            </a:solidFill>
          </a:ln>
          <a:effectLst/>
        </c:spPr>
      </c:pivotFmt>
      <c:pivotFmt>
        <c:idx val="4"/>
        <c:spPr>
          <a:solidFill>
            <a:schemeClr val="accent2">
              <a:shade val="70000"/>
            </a:schemeClr>
          </a:solidFill>
          <a:ln w="19050">
            <a:solidFill>
              <a:schemeClr val="lt1"/>
            </a:solidFill>
          </a:ln>
          <a:effectLst/>
        </c:spPr>
      </c:pivotFmt>
      <c:pivotFmt>
        <c:idx val="5"/>
        <c:spPr>
          <a:solidFill>
            <a:schemeClr val="accent2">
              <a:shade val="90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70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14735805055048332"/>
          <c:y val="9.3749810493997748E-2"/>
          <c:w val="0.33364030733229671"/>
          <c:h val="0.79593907046331291"/>
        </c:manualLayout>
      </c:layout>
      <c:pieChart>
        <c:varyColors val="1"/>
        <c:ser>
          <c:idx val="0"/>
          <c:order val="0"/>
          <c:tx>
            <c:strRef>
              <c:f>Kpi!$H$4</c:f>
              <c:strCache>
                <c:ptCount val="1"/>
                <c:pt idx="0">
                  <c:v>Total</c:v>
                </c:pt>
              </c:strCache>
            </c:strRef>
          </c:tx>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CB52-4338-A3A9-0ED43454AAE7}"/>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CB52-4338-A3A9-0ED43454AAE7}"/>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CB52-4338-A3A9-0ED43454AAE7}"/>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CB52-4338-A3A9-0ED43454AAE7}"/>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CB52-4338-A3A9-0ED43454AAE7}"/>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CB52-4338-A3A9-0ED43454AAE7}"/>
              </c:ext>
            </c:extLst>
          </c:dPt>
          <c:cat>
            <c:strRef>
              <c:f>Kpi!$G$5:$G$11</c:f>
              <c:strCache>
                <c:ptCount val="6"/>
                <c:pt idx="0">
                  <c:v>Central</c:v>
                </c:pt>
                <c:pt idx="1">
                  <c:v>Eastern</c:v>
                </c:pt>
                <c:pt idx="2">
                  <c:v>North Eastern</c:v>
                </c:pt>
                <c:pt idx="3">
                  <c:v>Northern</c:v>
                </c:pt>
                <c:pt idx="4">
                  <c:v>Southern</c:v>
                </c:pt>
                <c:pt idx="5">
                  <c:v>Western</c:v>
                </c:pt>
              </c:strCache>
            </c:strRef>
          </c:cat>
          <c:val>
            <c:numRef>
              <c:f>Kpi!$H$5:$H$11</c:f>
              <c:numCache>
                <c:formatCode>General</c:formatCode>
                <c:ptCount val="6"/>
                <c:pt idx="0">
                  <c:v>39</c:v>
                </c:pt>
                <c:pt idx="1">
                  <c:v>45</c:v>
                </c:pt>
                <c:pt idx="2">
                  <c:v>14</c:v>
                </c:pt>
                <c:pt idx="3">
                  <c:v>89</c:v>
                </c:pt>
                <c:pt idx="4">
                  <c:v>98</c:v>
                </c:pt>
                <c:pt idx="5">
                  <c:v>40</c:v>
                </c:pt>
              </c:numCache>
            </c:numRef>
          </c:val>
          <c:extLst>
            <c:ext xmlns:c16="http://schemas.microsoft.com/office/drawing/2014/chart" uri="{C3380CC4-5D6E-409C-BE32-E72D297353CC}">
              <c16:uniqueId val="{0000000C-CB52-4338-A3A9-0ED43454AA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Dashboard.xlsx]Kpi!PivotTable7</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3000"/>
            </a:schemeClr>
          </a:solidFill>
          <a:ln w="19050">
            <a:solidFill>
              <a:schemeClr val="lt1"/>
            </a:solidFill>
          </a:ln>
          <a:effectLst/>
        </c:spPr>
      </c:pivotFmt>
      <c:pivotFmt>
        <c:idx val="3"/>
        <c:spPr>
          <a:solidFill>
            <a:schemeClr val="accent2">
              <a:shade val="76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tint val="54000"/>
            </a:schemeClr>
          </a:solidFill>
          <a:ln w="19050">
            <a:solidFill>
              <a:schemeClr val="lt1"/>
            </a:solidFill>
          </a:ln>
          <a:effectLst/>
        </c:spPr>
      </c:pivotFmt>
      <c:pivotFmt>
        <c:idx val="7"/>
        <c:spPr>
          <a:solidFill>
            <a:schemeClr val="accent2">
              <a:tint val="77000"/>
            </a:schemeClr>
          </a:solidFill>
          <a:ln w="19050">
            <a:solidFill>
              <a:schemeClr val="lt1"/>
            </a:solidFill>
          </a:ln>
          <a:effectLst/>
        </c:spPr>
      </c:pivotFmt>
    </c:pivotFmts>
    <c:plotArea>
      <c:layout>
        <c:manualLayout>
          <c:layoutTarget val="inner"/>
          <c:xMode val="edge"/>
          <c:yMode val="edge"/>
          <c:x val="0.14922364838340885"/>
          <c:y val="5.9786485122965319E-2"/>
          <c:w val="0.52817402537687608"/>
          <c:h val="0.94021351487703464"/>
        </c:manualLayout>
      </c:layout>
      <c:doughnutChart>
        <c:varyColors val="1"/>
        <c:ser>
          <c:idx val="0"/>
          <c:order val="0"/>
          <c:tx>
            <c:strRef>
              <c:f>Kpi!$K$4</c:f>
              <c:strCache>
                <c:ptCount val="1"/>
                <c:pt idx="0">
                  <c:v>Total</c:v>
                </c:pt>
              </c:strCache>
            </c:strRef>
          </c:tx>
          <c:explosion val="2"/>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342F-46BE-BF3C-C0BD16B97901}"/>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342F-46BE-BF3C-C0BD16B9790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42F-46BE-BF3C-C0BD16B97901}"/>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342F-46BE-BF3C-C0BD16B97901}"/>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342F-46BE-BF3C-C0BD16B97901}"/>
              </c:ext>
            </c:extLst>
          </c:dPt>
          <c:cat>
            <c:strRef>
              <c:f>Kpi!$J$5:$J$10</c:f>
              <c:strCache>
                <c:ptCount val="5"/>
                <c:pt idx="0">
                  <c:v>1</c:v>
                </c:pt>
                <c:pt idx="1">
                  <c:v>1.5</c:v>
                </c:pt>
                <c:pt idx="2">
                  <c:v>2</c:v>
                </c:pt>
                <c:pt idx="3">
                  <c:v>3</c:v>
                </c:pt>
                <c:pt idx="4">
                  <c:v>5</c:v>
                </c:pt>
              </c:strCache>
            </c:strRef>
          </c:cat>
          <c:val>
            <c:numRef>
              <c:f>Kpi!$K$5:$K$10</c:f>
              <c:numCache>
                <c:formatCode>General</c:formatCode>
                <c:ptCount val="5"/>
                <c:pt idx="0">
                  <c:v>107</c:v>
                </c:pt>
                <c:pt idx="1">
                  <c:v>62</c:v>
                </c:pt>
                <c:pt idx="2">
                  <c:v>93</c:v>
                </c:pt>
                <c:pt idx="3">
                  <c:v>35</c:v>
                </c:pt>
                <c:pt idx="4">
                  <c:v>8</c:v>
                </c:pt>
              </c:numCache>
            </c:numRef>
          </c:val>
          <c:extLst>
            <c:ext xmlns:c16="http://schemas.microsoft.com/office/drawing/2014/chart" uri="{C3380CC4-5D6E-409C-BE32-E72D297353CC}">
              <c16:uniqueId val="{0000000A-342F-46BE-BF3C-C0BD16B9790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594102</xdr:colOff>
      <xdr:row>1</xdr:row>
      <xdr:rowOff>-1</xdr:rowOff>
    </xdr:from>
    <xdr:to>
      <xdr:col>17</xdr:col>
      <xdr:colOff>590649</xdr:colOff>
      <xdr:row>27</xdr:row>
      <xdr:rowOff>22635</xdr:rowOff>
    </xdr:to>
    <xdr:sp macro="" textlink="">
      <xdr:nvSpPr>
        <xdr:cNvPr id="3" name="Rectangle 2">
          <a:extLst>
            <a:ext uri="{FF2B5EF4-FFF2-40B4-BE49-F238E27FC236}">
              <a16:creationId xmlns:a16="http://schemas.microsoft.com/office/drawing/2014/main" id="{E091DDE3-AED0-AFAC-A0C6-1113AF7158C4}"/>
            </a:ext>
          </a:extLst>
        </xdr:cNvPr>
        <xdr:cNvSpPr/>
      </xdr:nvSpPr>
      <xdr:spPr>
        <a:xfrm>
          <a:off x="3022170" y="180813"/>
          <a:ext cx="7887767" cy="4723788"/>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90533</xdr:colOff>
      <xdr:row>1</xdr:row>
      <xdr:rowOff>82991</xdr:rowOff>
    </xdr:from>
    <xdr:to>
      <xdr:col>17</xdr:col>
      <xdr:colOff>497940</xdr:colOff>
      <xdr:row>4</xdr:row>
      <xdr:rowOff>37723</xdr:rowOff>
    </xdr:to>
    <xdr:sp macro="" textlink="">
      <xdr:nvSpPr>
        <xdr:cNvPr id="4" name="Rectangle 3">
          <a:extLst>
            <a:ext uri="{FF2B5EF4-FFF2-40B4-BE49-F238E27FC236}">
              <a16:creationId xmlns:a16="http://schemas.microsoft.com/office/drawing/2014/main" id="{F7411035-C640-D272-238D-2C1E5AC41CDC}"/>
            </a:ext>
          </a:extLst>
        </xdr:cNvPr>
        <xdr:cNvSpPr/>
      </xdr:nvSpPr>
      <xdr:spPr>
        <a:xfrm>
          <a:off x="3125618" y="263805"/>
          <a:ext cx="7691610" cy="49717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Top Indian Places To Visit</a:t>
          </a:r>
        </a:p>
      </xdr:txBody>
    </xdr:sp>
    <xdr:clientData/>
  </xdr:twoCellAnchor>
  <xdr:twoCellAnchor>
    <xdr:from>
      <xdr:col>5</xdr:col>
      <xdr:colOff>98079</xdr:colOff>
      <xdr:row>4</xdr:row>
      <xdr:rowOff>149665</xdr:rowOff>
    </xdr:from>
    <xdr:to>
      <xdr:col>8</xdr:col>
      <xdr:colOff>22634</xdr:colOff>
      <xdr:row>8</xdr:row>
      <xdr:rowOff>54039</xdr:rowOff>
    </xdr:to>
    <xdr:sp macro="" textlink="">
      <xdr:nvSpPr>
        <xdr:cNvPr id="5" name="Rectangle 4">
          <a:extLst>
            <a:ext uri="{FF2B5EF4-FFF2-40B4-BE49-F238E27FC236}">
              <a16:creationId xmlns:a16="http://schemas.microsoft.com/office/drawing/2014/main" id="{56E7FDED-0F86-0E00-A9A7-59F2B677A467}"/>
            </a:ext>
          </a:extLst>
        </xdr:cNvPr>
        <xdr:cNvSpPr/>
      </xdr:nvSpPr>
      <xdr:spPr>
        <a:xfrm>
          <a:off x="3153624" y="873942"/>
          <a:ext cx="1757881" cy="62865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Tourist Places</a:t>
          </a:r>
        </a:p>
      </xdr:txBody>
    </xdr:sp>
    <xdr:clientData/>
  </xdr:twoCellAnchor>
  <xdr:twoCellAnchor>
    <xdr:from>
      <xdr:col>8</xdr:col>
      <xdr:colOff>288203</xdr:colOff>
      <xdr:row>4</xdr:row>
      <xdr:rowOff>151175</xdr:rowOff>
    </xdr:from>
    <xdr:to>
      <xdr:col>11</xdr:col>
      <xdr:colOff>294238</xdr:colOff>
      <xdr:row>8</xdr:row>
      <xdr:rowOff>55549</xdr:rowOff>
    </xdr:to>
    <xdr:sp macro="" textlink="">
      <xdr:nvSpPr>
        <xdr:cNvPr id="6" name="Rectangle 5">
          <a:extLst>
            <a:ext uri="{FF2B5EF4-FFF2-40B4-BE49-F238E27FC236}">
              <a16:creationId xmlns:a16="http://schemas.microsoft.com/office/drawing/2014/main" id="{4B70A71E-DBE5-43A3-90B1-302E35346F44}"/>
            </a:ext>
          </a:extLst>
        </xdr:cNvPr>
        <xdr:cNvSpPr/>
      </xdr:nvSpPr>
      <xdr:spPr>
        <a:xfrm>
          <a:off x="5177074" y="875452"/>
          <a:ext cx="1839362" cy="62865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Average Google Rating</a:t>
          </a:r>
        </a:p>
      </xdr:txBody>
    </xdr:sp>
    <xdr:clientData/>
  </xdr:twoCellAnchor>
  <xdr:twoCellAnchor>
    <xdr:from>
      <xdr:col>11</xdr:col>
      <xdr:colOff>547736</xdr:colOff>
      <xdr:row>4</xdr:row>
      <xdr:rowOff>154192</xdr:rowOff>
    </xdr:from>
    <xdr:to>
      <xdr:col>14</xdr:col>
      <xdr:colOff>472290</xdr:colOff>
      <xdr:row>8</xdr:row>
      <xdr:rowOff>58566</xdr:rowOff>
    </xdr:to>
    <xdr:sp macro="" textlink="">
      <xdr:nvSpPr>
        <xdr:cNvPr id="8" name="Rectangle 7">
          <a:extLst>
            <a:ext uri="{FF2B5EF4-FFF2-40B4-BE49-F238E27FC236}">
              <a16:creationId xmlns:a16="http://schemas.microsoft.com/office/drawing/2014/main" id="{08B8FE66-9C05-421E-94F4-981E6A8C131F}"/>
            </a:ext>
          </a:extLst>
        </xdr:cNvPr>
        <xdr:cNvSpPr/>
      </xdr:nvSpPr>
      <xdr:spPr>
        <a:xfrm>
          <a:off x="7269934" y="878469"/>
          <a:ext cx="1757881" cy="62865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Google Reviews</a:t>
          </a:r>
        </a:p>
      </xdr:txBody>
    </xdr:sp>
    <xdr:clientData/>
  </xdr:twoCellAnchor>
  <xdr:twoCellAnchor>
    <xdr:from>
      <xdr:col>14</xdr:col>
      <xdr:colOff>564333</xdr:colOff>
      <xdr:row>4</xdr:row>
      <xdr:rowOff>133067</xdr:rowOff>
    </xdr:from>
    <xdr:to>
      <xdr:col>17</xdr:col>
      <xdr:colOff>488888</xdr:colOff>
      <xdr:row>26</xdr:row>
      <xdr:rowOff>90535</xdr:rowOff>
    </xdr:to>
    <xdr:sp macro="" textlink="">
      <xdr:nvSpPr>
        <xdr:cNvPr id="9" name="Rectangle 8">
          <a:extLst>
            <a:ext uri="{FF2B5EF4-FFF2-40B4-BE49-F238E27FC236}">
              <a16:creationId xmlns:a16="http://schemas.microsoft.com/office/drawing/2014/main" id="{E5F4851D-326D-4A76-B097-C4D8482F96BC}"/>
            </a:ext>
          </a:extLst>
        </xdr:cNvPr>
        <xdr:cNvSpPr/>
      </xdr:nvSpPr>
      <xdr:spPr>
        <a:xfrm>
          <a:off x="9119858" y="857344"/>
          <a:ext cx="1757881" cy="394099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264060</xdr:colOff>
      <xdr:row>6</xdr:row>
      <xdr:rowOff>105622</xdr:rowOff>
    </xdr:from>
    <xdr:to>
      <xdr:col>7</xdr:col>
      <xdr:colOff>505486</xdr:colOff>
      <xdr:row>7</xdr:row>
      <xdr:rowOff>181068</xdr:rowOff>
    </xdr:to>
    <xdr:sp macro="" textlink="Kpi!B2">
      <xdr:nvSpPr>
        <xdr:cNvPr id="10" name="TextBox 9">
          <a:extLst>
            <a:ext uri="{FF2B5EF4-FFF2-40B4-BE49-F238E27FC236}">
              <a16:creationId xmlns:a16="http://schemas.microsoft.com/office/drawing/2014/main" id="{E38893A6-7CA0-2AAB-AF5B-469B2732D67E}"/>
            </a:ext>
          </a:extLst>
        </xdr:cNvPr>
        <xdr:cNvSpPr txBox="1"/>
      </xdr:nvSpPr>
      <xdr:spPr>
        <a:xfrm>
          <a:off x="3319605" y="1192038"/>
          <a:ext cx="1463643" cy="2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1A142F-FFA0-415B-93EF-E461A9617332}" type="TxLink">
            <a:rPr lang="en-US" sz="1400" b="0" i="0" u="none" strike="noStrike">
              <a:solidFill>
                <a:srgbClr val="000000"/>
              </a:solidFill>
              <a:latin typeface="Aptos Narrow"/>
            </a:rPr>
            <a:pPr algn="ctr"/>
            <a:t>325</a:t>
          </a:fld>
          <a:endParaRPr lang="en-IN" sz="1400" b="0"/>
        </a:p>
      </xdr:txBody>
    </xdr:sp>
    <xdr:clientData/>
  </xdr:twoCellAnchor>
  <xdr:twoCellAnchor>
    <xdr:from>
      <xdr:col>12</xdr:col>
      <xdr:colOff>107133</xdr:colOff>
      <xdr:row>6</xdr:row>
      <xdr:rowOff>99587</xdr:rowOff>
    </xdr:from>
    <xdr:to>
      <xdr:col>14</xdr:col>
      <xdr:colOff>348558</xdr:colOff>
      <xdr:row>7</xdr:row>
      <xdr:rowOff>175033</xdr:rowOff>
    </xdr:to>
    <xdr:sp macro="" textlink="Kpi!H2">
      <xdr:nvSpPr>
        <xdr:cNvPr id="11" name="TextBox 10">
          <a:extLst>
            <a:ext uri="{FF2B5EF4-FFF2-40B4-BE49-F238E27FC236}">
              <a16:creationId xmlns:a16="http://schemas.microsoft.com/office/drawing/2014/main" id="{C4B4EE49-3705-4FDE-8C28-5BFC820C0167}"/>
            </a:ext>
          </a:extLst>
        </xdr:cNvPr>
        <xdr:cNvSpPr txBox="1"/>
      </xdr:nvSpPr>
      <xdr:spPr>
        <a:xfrm>
          <a:off x="7440440" y="1186003"/>
          <a:ext cx="1463643" cy="2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8B2FBB-1C49-4EFA-B71E-C58E39B77CB9}" type="TxLink">
            <a:rPr lang="en-US" sz="1400" b="0" i="0" u="none" strike="noStrike">
              <a:solidFill>
                <a:srgbClr val="000000"/>
              </a:solidFill>
              <a:latin typeface="Aptos Narrow"/>
            </a:rPr>
            <a:pPr algn="ctr"/>
            <a:t>133</a:t>
          </a:fld>
          <a:endParaRPr lang="en-IN" sz="1400"/>
        </a:p>
      </xdr:txBody>
    </xdr:sp>
    <xdr:clientData/>
  </xdr:twoCellAnchor>
  <xdr:twoCellAnchor>
    <xdr:from>
      <xdr:col>8</xdr:col>
      <xdr:colOff>508504</xdr:colOff>
      <xdr:row>6</xdr:row>
      <xdr:rowOff>108640</xdr:rowOff>
    </xdr:from>
    <xdr:to>
      <xdr:col>11</xdr:col>
      <xdr:colOff>138820</xdr:colOff>
      <xdr:row>8</xdr:row>
      <xdr:rowOff>3017</xdr:rowOff>
    </xdr:to>
    <xdr:sp macro="" textlink="Kpi!E2">
      <xdr:nvSpPr>
        <xdr:cNvPr id="12" name="TextBox 11">
          <a:extLst>
            <a:ext uri="{FF2B5EF4-FFF2-40B4-BE49-F238E27FC236}">
              <a16:creationId xmlns:a16="http://schemas.microsoft.com/office/drawing/2014/main" id="{C1777909-2E28-40EF-9556-92F1B4D5E808}"/>
            </a:ext>
          </a:extLst>
        </xdr:cNvPr>
        <xdr:cNvSpPr txBox="1"/>
      </xdr:nvSpPr>
      <xdr:spPr>
        <a:xfrm>
          <a:off x="5397375" y="1195056"/>
          <a:ext cx="1463643" cy="2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CAA59E-CE4B-4100-9AB1-7049D443FED0}" type="TxLink">
            <a:rPr lang="en-US" sz="1400" b="0" i="0" u="none" strike="noStrike">
              <a:solidFill>
                <a:srgbClr val="000000"/>
              </a:solidFill>
              <a:latin typeface="Aptos Narrow"/>
            </a:rPr>
            <a:pPr algn="ctr"/>
            <a:t>4.49</a:t>
          </a:fld>
          <a:endParaRPr lang="en-IN" sz="1400"/>
        </a:p>
      </xdr:txBody>
    </xdr:sp>
    <xdr:clientData/>
  </xdr:twoCellAnchor>
  <xdr:twoCellAnchor>
    <xdr:from>
      <xdr:col>5</xdr:col>
      <xdr:colOff>98079</xdr:colOff>
      <xdr:row>9</xdr:row>
      <xdr:rowOff>22633</xdr:rowOff>
    </xdr:from>
    <xdr:to>
      <xdr:col>9</xdr:col>
      <xdr:colOff>520574</xdr:colOff>
      <xdr:row>17</xdr:row>
      <xdr:rowOff>45267</xdr:rowOff>
    </xdr:to>
    <xdr:sp macro="" textlink="">
      <xdr:nvSpPr>
        <xdr:cNvPr id="13" name="Rectangle 12">
          <a:extLst>
            <a:ext uri="{FF2B5EF4-FFF2-40B4-BE49-F238E27FC236}">
              <a16:creationId xmlns:a16="http://schemas.microsoft.com/office/drawing/2014/main" id="{9067396F-6386-D0F2-846C-22E6435974BD}"/>
            </a:ext>
          </a:extLst>
        </xdr:cNvPr>
        <xdr:cNvSpPr/>
      </xdr:nvSpPr>
      <xdr:spPr>
        <a:xfrm>
          <a:off x="3153624" y="1652257"/>
          <a:ext cx="2866930" cy="14711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150891</xdr:colOff>
      <xdr:row>17</xdr:row>
      <xdr:rowOff>144856</xdr:rowOff>
    </xdr:from>
    <xdr:to>
      <xdr:col>14</xdr:col>
      <xdr:colOff>454183</xdr:colOff>
      <xdr:row>26</xdr:row>
      <xdr:rowOff>82990</xdr:rowOff>
    </xdr:to>
    <xdr:sp macro="" textlink="">
      <xdr:nvSpPr>
        <xdr:cNvPr id="14" name="Rectangle 13">
          <a:extLst>
            <a:ext uri="{FF2B5EF4-FFF2-40B4-BE49-F238E27FC236}">
              <a16:creationId xmlns:a16="http://schemas.microsoft.com/office/drawing/2014/main" id="{91868EFF-FF01-468E-9A12-499BB402AB14}"/>
            </a:ext>
          </a:extLst>
        </xdr:cNvPr>
        <xdr:cNvSpPr/>
      </xdr:nvSpPr>
      <xdr:spPr>
        <a:xfrm>
          <a:off x="6261980" y="3223034"/>
          <a:ext cx="2747728" cy="15677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143347</xdr:colOff>
      <xdr:row>9</xdr:row>
      <xdr:rowOff>40740</xdr:rowOff>
    </xdr:from>
    <xdr:to>
      <xdr:col>14</xdr:col>
      <xdr:colOff>448147</xdr:colOff>
      <xdr:row>17</xdr:row>
      <xdr:rowOff>60356</xdr:rowOff>
    </xdr:to>
    <xdr:sp macro="" textlink="">
      <xdr:nvSpPr>
        <xdr:cNvPr id="15" name="Rectangle 14">
          <a:extLst>
            <a:ext uri="{FF2B5EF4-FFF2-40B4-BE49-F238E27FC236}">
              <a16:creationId xmlns:a16="http://schemas.microsoft.com/office/drawing/2014/main" id="{F9FB875A-EE01-4B85-80B8-8DD84E15762A}"/>
            </a:ext>
          </a:extLst>
        </xdr:cNvPr>
        <xdr:cNvSpPr/>
      </xdr:nvSpPr>
      <xdr:spPr>
        <a:xfrm>
          <a:off x="6254436" y="1670364"/>
          <a:ext cx="2749236" cy="146817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102606</xdr:colOff>
      <xdr:row>17</xdr:row>
      <xdr:rowOff>178052</xdr:rowOff>
    </xdr:from>
    <xdr:to>
      <xdr:col>9</xdr:col>
      <xdr:colOff>528119</xdr:colOff>
      <xdr:row>26</xdr:row>
      <xdr:rowOff>82990</xdr:rowOff>
    </xdr:to>
    <xdr:sp macro="" textlink="">
      <xdr:nvSpPr>
        <xdr:cNvPr id="16" name="Rectangle 15">
          <a:extLst>
            <a:ext uri="{FF2B5EF4-FFF2-40B4-BE49-F238E27FC236}">
              <a16:creationId xmlns:a16="http://schemas.microsoft.com/office/drawing/2014/main" id="{2794E8BD-143C-4508-B6F7-89E2E0B5C930}"/>
            </a:ext>
          </a:extLst>
        </xdr:cNvPr>
        <xdr:cNvSpPr/>
      </xdr:nvSpPr>
      <xdr:spPr>
        <a:xfrm>
          <a:off x="3158151" y="3256230"/>
          <a:ext cx="2869948" cy="15345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196159</xdr:colOff>
      <xdr:row>19</xdr:row>
      <xdr:rowOff>105624</xdr:rowOff>
    </xdr:from>
    <xdr:to>
      <xdr:col>9</xdr:col>
      <xdr:colOff>377229</xdr:colOff>
      <xdr:row>26</xdr:row>
      <xdr:rowOff>60355</xdr:rowOff>
    </xdr:to>
    <xdr:graphicFrame macro="">
      <xdr:nvGraphicFramePr>
        <xdr:cNvPr id="17" name="Chart 1">
          <a:extLst>
            <a:ext uri="{FF2B5EF4-FFF2-40B4-BE49-F238E27FC236}">
              <a16:creationId xmlns:a16="http://schemas.microsoft.com/office/drawing/2014/main" id="{7250F3CC-E5F1-D6B3-0F33-E38A94ABB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309326</xdr:colOff>
      <xdr:row>18</xdr:row>
      <xdr:rowOff>67901</xdr:rowOff>
    </xdr:from>
    <xdr:to>
      <xdr:col>9</xdr:col>
      <xdr:colOff>301782</xdr:colOff>
      <xdr:row>19</xdr:row>
      <xdr:rowOff>67901</xdr:rowOff>
    </xdr:to>
    <xdr:sp macro="" textlink="">
      <xdr:nvSpPr>
        <xdr:cNvPr id="18" name="TextBox 17">
          <a:extLst>
            <a:ext uri="{FF2B5EF4-FFF2-40B4-BE49-F238E27FC236}">
              <a16:creationId xmlns:a16="http://schemas.microsoft.com/office/drawing/2014/main" id="{D5A5166D-0F8A-A9CF-58D8-18B95238F538}"/>
            </a:ext>
          </a:extLst>
        </xdr:cNvPr>
        <xdr:cNvSpPr txBox="1"/>
      </xdr:nvSpPr>
      <xdr:spPr>
        <a:xfrm>
          <a:off x="3364871" y="3327149"/>
          <a:ext cx="2436891" cy="181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Tourist Places by State</a:t>
          </a:r>
          <a:endParaRPr lang="en-IN" sz="1100" b="1"/>
        </a:p>
      </xdr:txBody>
    </xdr:sp>
    <xdr:clientData/>
  </xdr:twoCellAnchor>
  <xdr:twoCellAnchor>
    <xdr:from>
      <xdr:col>10</xdr:col>
      <xdr:colOff>227166</xdr:colOff>
      <xdr:row>18</xdr:row>
      <xdr:rowOff>37723</xdr:rowOff>
    </xdr:from>
    <xdr:to>
      <xdr:col>14</xdr:col>
      <xdr:colOff>362138</xdr:colOff>
      <xdr:row>26</xdr:row>
      <xdr:rowOff>52813</xdr:rowOff>
    </xdr:to>
    <xdr:graphicFrame macro="">
      <xdr:nvGraphicFramePr>
        <xdr:cNvPr id="19" name="Chart 2">
          <a:extLst>
            <a:ext uri="{FF2B5EF4-FFF2-40B4-BE49-F238E27FC236}">
              <a16:creationId xmlns:a16="http://schemas.microsoft.com/office/drawing/2014/main" id="{08178801-F8A0-3125-C820-A72B778E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520574</xdr:colOff>
      <xdr:row>18</xdr:row>
      <xdr:rowOff>60356</xdr:rowOff>
    </xdr:from>
    <xdr:to>
      <xdr:col>14</xdr:col>
      <xdr:colOff>7544</xdr:colOff>
      <xdr:row>19</xdr:row>
      <xdr:rowOff>52812</xdr:rowOff>
    </xdr:to>
    <xdr:sp macro="" textlink="">
      <xdr:nvSpPr>
        <xdr:cNvPr id="20" name="TextBox 19">
          <a:extLst>
            <a:ext uri="{FF2B5EF4-FFF2-40B4-BE49-F238E27FC236}">
              <a16:creationId xmlns:a16="http://schemas.microsoft.com/office/drawing/2014/main" id="{60975F95-F1FF-1EAC-9B50-D59C5C054972}"/>
            </a:ext>
          </a:extLst>
        </xdr:cNvPr>
        <xdr:cNvSpPr txBox="1"/>
      </xdr:nvSpPr>
      <xdr:spPr>
        <a:xfrm>
          <a:off x="6631663" y="3319604"/>
          <a:ext cx="1931406" cy="17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Tourist Places by Type</a:t>
          </a:r>
          <a:endParaRPr lang="en-IN" sz="1100" b="1"/>
        </a:p>
      </xdr:txBody>
    </xdr:sp>
    <xdr:clientData/>
  </xdr:twoCellAnchor>
  <xdr:twoCellAnchor>
    <xdr:from>
      <xdr:col>5</xdr:col>
      <xdr:colOff>150891</xdr:colOff>
      <xdr:row>10</xdr:row>
      <xdr:rowOff>105623</xdr:rowOff>
    </xdr:from>
    <xdr:to>
      <xdr:col>9</xdr:col>
      <xdr:colOff>460218</xdr:colOff>
      <xdr:row>16</xdr:row>
      <xdr:rowOff>173524</xdr:rowOff>
    </xdr:to>
    <xdr:graphicFrame macro="">
      <xdr:nvGraphicFramePr>
        <xdr:cNvPr id="21" name="Chart 3">
          <a:extLst>
            <a:ext uri="{FF2B5EF4-FFF2-40B4-BE49-F238E27FC236}">
              <a16:creationId xmlns:a16="http://schemas.microsoft.com/office/drawing/2014/main" id="{1BE9F6EF-9ABA-A9CF-9B80-77CD8D2D4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497940</xdr:colOff>
      <xdr:row>9</xdr:row>
      <xdr:rowOff>90534</xdr:rowOff>
    </xdr:from>
    <xdr:to>
      <xdr:col>9</xdr:col>
      <xdr:colOff>37723</xdr:colOff>
      <xdr:row>10</xdr:row>
      <xdr:rowOff>82990</xdr:rowOff>
    </xdr:to>
    <xdr:sp macro="" textlink="">
      <xdr:nvSpPr>
        <xdr:cNvPr id="22" name="TextBox 21">
          <a:extLst>
            <a:ext uri="{FF2B5EF4-FFF2-40B4-BE49-F238E27FC236}">
              <a16:creationId xmlns:a16="http://schemas.microsoft.com/office/drawing/2014/main" id="{EB8DABF5-79CF-1D80-85AA-CC0609E09B19}"/>
            </a:ext>
          </a:extLst>
        </xdr:cNvPr>
        <xdr:cNvSpPr txBox="1"/>
      </xdr:nvSpPr>
      <xdr:spPr>
        <a:xfrm>
          <a:off x="3553485" y="1720158"/>
          <a:ext cx="1984218" cy="17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Zone Distribution</a:t>
          </a:r>
          <a:endParaRPr lang="en-IN" sz="1100" b="1"/>
        </a:p>
      </xdr:txBody>
    </xdr:sp>
    <xdr:clientData/>
  </xdr:twoCellAnchor>
  <xdr:twoCellAnchor>
    <xdr:from>
      <xdr:col>10</xdr:col>
      <xdr:colOff>218792</xdr:colOff>
      <xdr:row>10</xdr:row>
      <xdr:rowOff>113168</xdr:rowOff>
    </xdr:from>
    <xdr:to>
      <xdr:col>14</xdr:col>
      <xdr:colOff>331960</xdr:colOff>
      <xdr:row>17</xdr:row>
      <xdr:rowOff>7545</xdr:rowOff>
    </xdr:to>
    <xdr:graphicFrame macro="">
      <xdr:nvGraphicFramePr>
        <xdr:cNvPr id="23" name="Chart 4">
          <a:extLst>
            <a:ext uri="{FF2B5EF4-FFF2-40B4-BE49-F238E27FC236}">
              <a16:creationId xmlns:a16="http://schemas.microsoft.com/office/drawing/2014/main" id="{32764130-C5F1-C0A8-9117-BF1ABB5D1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535663</xdr:colOff>
      <xdr:row>9</xdr:row>
      <xdr:rowOff>105624</xdr:rowOff>
    </xdr:from>
    <xdr:to>
      <xdr:col>14</xdr:col>
      <xdr:colOff>60356</xdr:colOff>
      <xdr:row>10</xdr:row>
      <xdr:rowOff>75446</xdr:rowOff>
    </xdr:to>
    <xdr:sp macro="" textlink="">
      <xdr:nvSpPr>
        <xdr:cNvPr id="24" name="TextBox 23">
          <a:extLst>
            <a:ext uri="{FF2B5EF4-FFF2-40B4-BE49-F238E27FC236}">
              <a16:creationId xmlns:a16="http://schemas.microsoft.com/office/drawing/2014/main" id="{B4707718-1A21-9CC4-3B4F-34F7AEBB2222}"/>
            </a:ext>
          </a:extLst>
        </xdr:cNvPr>
        <xdr:cNvSpPr txBox="1"/>
      </xdr:nvSpPr>
      <xdr:spPr>
        <a:xfrm>
          <a:off x="6646752" y="1735248"/>
          <a:ext cx="1969129" cy="150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Time to Visit</a:t>
          </a:r>
          <a:endParaRPr lang="en-IN" sz="1100" b="1"/>
        </a:p>
      </xdr:txBody>
    </xdr:sp>
    <xdr:clientData/>
  </xdr:twoCellAnchor>
  <xdr:twoCellAnchor editAs="oneCell">
    <xdr:from>
      <xdr:col>15</xdr:col>
      <xdr:colOff>7545</xdr:colOff>
      <xdr:row>5</xdr:row>
      <xdr:rowOff>52814</xdr:rowOff>
    </xdr:from>
    <xdr:to>
      <xdr:col>17</xdr:col>
      <xdr:colOff>437586</xdr:colOff>
      <xdr:row>11</xdr:row>
      <xdr:rowOff>135803</xdr:rowOff>
    </xdr:to>
    <mc:AlternateContent xmlns:mc="http://schemas.openxmlformats.org/markup-compatibility/2006" xmlns:a14="http://schemas.microsoft.com/office/drawing/2010/main">
      <mc:Choice Requires="a14">
        <xdr:graphicFrame macro="">
          <xdr:nvGraphicFramePr>
            <xdr:cNvPr id="25" name="State">
              <a:extLst>
                <a:ext uri="{FF2B5EF4-FFF2-40B4-BE49-F238E27FC236}">
                  <a16:creationId xmlns:a16="http://schemas.microsoft.com/office/drawing/2014/main" id="{E65FEC9E-6C56-45B3-A52C-0C49D0A706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74179" y="958161"/>
              <a:ext cx="1652258" cy="1169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22633</xdr:colOff>
      <xdr:row>12</xdr:row>
      <xdr:rowOff>37722</xdr:rowOff>
    </xdr:from>
    <xdr:to>
      <xdr:col>17</xdr:col>
      <xdr:colOff>437585</xdr:colOff>
      <xdr:row>18</xdr:row>
      <xdr:rowOff>45267</xdr:rowOff>
    </xdr:to>
    <mc:AlternateContent xmlns:mc="http://schemas.openxmlformats.org/markup-compatibility/2006" xmlns:a14="http://schemas.microsoft.com/office/drawing/2010/main">
      <mc:Choice Requires="a14">
        <xdr:graphicFrame macro="">
          <xdr:nvGraphicFramePr>
            <xdr:cNvPr id="26" name="Type">
              <a:extLst>
                <a:ext uri="{FF2B5EF4-FFF2-40B4-BE49-F238E27FC236}">
                  <a16:creationId xmlns:a16="http://schemas.microsoft.com/office/drawing/2014/main" id="{4027915D-60D4-4633-9ADE-E74397B7570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189267" y="2210554"/>
              <a:ext cx="1637169" cy="1093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30177</xdr:colOff>
      <xdr:row>18</xdr:row>
      <xdr:rowOff>165980</xdr:rowOff>
    </xdr:from>
    <xdr:to>
      <xdr:col>17</xdr:col>
      <xdr:colOff>452674</xdr:colOff>
      <xdr:row>25</xdr:row>
      <xdr:rowOff>113168</xdr:rowOff>
    </xdr:to>
    <mc:AlternateContent xmlns:mc="http://schemas.openxmlformats.org/markup-compatibility/2006" xmlns:a14="http://schemas.microsoft.com/office/drawing/2010/main">
      <mc:Choice Requires="a14">
        <xdr:graphicFrame macro="">
          <xdr:nvGraphicFramePr>
            <xdr:cNvPr id="27" name="Zone">
              <a:extLst>
                <a:ext uri="{FF2B5EF4-FFF2-40B4-BE49-F238E27FC236}">
                  <a16:creationId xmlns:a16="http://schemas.microsoft.com/office/drawing/2014/main" id="{0D0D25F6-54D0-4A9E-A068-8E19DA09D48A}"/>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196811" y="3425228"/>
              <a:ext cx="1644714" cy="1214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Patil" refreshedDate="46091.451129976849" createdVersion="8" refreshedVersion="8" minRefreshableVersion="3" recordCount="325" xr:uid="{5ABDEE53-44FF-4664-BA2D-D695984713A8}">
  <cacheSource type="worksheet">
    <worksheetSource name="Table1"/>
  </cacheSource>
  <cacheFields count="15">
    <cacheField name="Zone" numFmtId="0">
      <sharedItems count="6">
        <s v="Northern"/>
        <s v="Western"/>
        <s v="Southern"/>
        <s v="Eastern"/>
        <s v="Central"/>
        <s v="North Eastern"/>
      </sharedItems>
    </cacheField>
    <cacheField name="State" numFmtId="0">
      <sharedItems count="33">
        <s v="Delhi"/>
        <s v="Maharastra"/>
        <s v="Karnataka"/>
        <s v="Telangana"/>
        <s v="West Bengal"/>
        <s v="Goa"/>
        <s v="Gujarat"/>
        <s v="Rajasthan"/>
        <s v="Punjab"/>
        <s v="Kerala"/>
        <s v="Maharashtra"/>
        <s v="Madhya Pradesh"/>
        <s v="Himachal Pradesh"/>
        <s v="Uttarakhand"/>
        <s v="Uttar Pradesh"/>
        <s v="Jammu and Kashmir"/>
        <s v="Ladakh"/>
        <s v="Odisha"/>
        <s v="Tamil Nadu"/>
        <s v="Andhra Pradesh"/>
        <s v="Sikkim"/>
        <s v="Assam"/>
        <s v="Arunachal Pradesh"/>
        <s v="Tripura"/>
        <s v="Chhattisgarh"/>
        <s v="Nagaland"/>
        <s v="Puducherry"/>
        <s v="Andaman and Nicobar Islands"/>
        <s v="Daman and Diu"/>
        <s v="Jharkhand"/>
        <s v="Bihar"/>
        <s v="Haryana"/>
        <s v="Meghalaya"/>
      </sharedItems>
    </cacheField>
    <cacheField name="City" numFmtId="0">
      <sharedItems/>
    </cacheField>
    <cacheField name="Name" numFmtId="0">
      <sharedItems/>
    </cacheField>
    <cacheField name="Type" numFmtId="0">
      <sharedItems count="78">
        <s v="War Memorial"/>
        <s v="Tomb"/>
        <s v="Temple"/>
        <s v="Theme Park"/>
        <s v="Observatory"/>
        <s v="Market"/>
        <s v="Fort"/>
        <s v="Stepwell"/>
        <s v="Park"/>
        <s v="Museum"/>
        <s v="Zoo"/>
        <s v="Monument"/>
        <s v="Science"/>
        <s v="Promenade"/>
        <s v="National Park"/>
        <s v="Religious Shrine"/>
        <s v="Beach"/>
        <s v="Amusement Park"/>
        <s v="Palace"/>
        <s v="Botanical Garden"/>
        <s v="Government Building"/>
        <s v="Landmark"/>
        <s v="Lake"/>
        <s v="Film Studio"/>
        <s v="Tombs"/>
        <s v="Bridge"/>
        <s v="Cricket Ground"/>
        <s v="Site"/>
        <s v="Church"/>
        <s v="Waterfall"/>
        <s v="Bird Sanctuary"/>
        <s v="Historical"/>
        <s v="Cultural"/>
        <s v="Urban Development Project"/>
        <s v="Wildlife Sanctuary"/>
        <s v="Shrine"/>
        <s v="Religious Site"/>
        <s v="Memorial"/>
        <s v="Border Crossing"/>
        <s v="Sculpture Garden"/>
        <s v="Scenic Area"/>
        <s v="Viewpoint"/>
        <s v="Mountain Peak"/>
        <s v="Cave"/>
        <s v="Mausoleum"/>
        <s v="Vineyard"/>
        <s v="Valley"/>
        <s v="Temples"/>
        <s v="Prehistoric Site"/>
        <s v="Scenic Point"/>
        <s v="Monastery"/>
        <s v="Tea Plantation"/>
        <s v="Adventure Sport"/>
        <s v="Trekking"/>
        <s v="Gurudwara"/>
        <s v="Ski Resort"/>
        <s v="Suspension Bridge"/>
        <s v="Ghat"/>
        <s v="Orchard"/>
        <s v="Confluence"/>
        <s v="Hill"/>
        <s v="Gravity Hill"/>
        <s v="Village"/>
        <s v="Sunrise Point"/>
        <s v="Dam"/>
        <s v="Spiritual Center"/>
        <s v="Aquarium"/>
        <s v="Religious Complex"/>
        <s v="Island"/>
        <s v="River Island"/>
        <s v="Rock Carvings"/>
        <s v="Township"/>
        <s v="Natural Feature"/>
        <s v="Entertainment"/>
        <s v="Mall"/>
        <s v="Commercial Complex"/>
        <s v="Mosque"/>
        <s v="Race Track"/>
      </sharedItems>
    </cacheField>
    <cacheField name="Establishment Year" numFmtId="0">
      <sharedItems containsMixedTypes="1" containsNumber="1" containsInteger="1" minValue="-3500" maxValue="2020"/>
    </cacheField>
    <cacheField name="time needed to visit in hrs" numFmtId="0">
      <sharedItems containsSemiMixedTypes="0" containsString="0" containsNumber="1" minValue="0.5" maxValue="7" count="11">
        <n v="0.5"/>
        <n v="2"/>
        <n v="5"/>
        <n v="3"/>
        <n v="1"/>
        <n v="4"/>
        <n v="1.5"/>
        <n v="2.5"/>
        <n v="7"/>
        <n v="5.5"/>
        <n v="6"/>
      </sharedItems>
    </cacheField>
    <cacheField name="Google review rating" numFmtId="0">
      <sharedItems containsSemiMixedTypes="0" containsString="0" containsNumber="1" minValue="1.4" maxValue="4.9000000000000004"/>
    </cacheField>
    <cacheField name="Entrance Fee in INR" numFmtId="0">
      <sharedItems containsSemiMixedTypes="0" containsString="0" containsNumber="1" containsInteger="1" minValue="0" maxValue="7500"/>
    </cacheField>
    <cacheField name="Airport with 50km Radius" numFmtId="0">
      <sharedItems/>
    </cacheField>
    <cacheField name="Weekly Off" numFmtId="0">
      <sharedItems/>
    </cacheField>
    <cacheField name="Significance" numFmtId="0">
      <sharedItems/>
    </cacheField>
    <cacheField name="DSLR Allowed" numFmtId="0">
      <sharedItems/>
    </cacheField>
    <cacheField name="Number of google review in lakhs" numFmtId="0">
      <sharedItems containsSemiMixedTypes="0" containsString="0" containsNumber="1" minValue="0.01" maxValue="7.4"/>
    </cacheField>
    <cacheField name="Best Time to visit" numFmtId="0">
      <sharedItems/>
    </cacheField>
  </cacheFields>
  <extLst>
    <ext xmlns:x14="http://schemas.microsoft.com/office/spreadsheetml/2009/9/main" uri="{725AE2AE-9491-48be-B2B4-4EB974FC3084}">
      <x14:pivotCacheDefinition pivotCacheId="309248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x v="0"/>
    <x v="0"/>
    <s v="Delhi"/>
    <s v="India Gate"/>
    <x v="0"/>
    <n v="1921"/>
    <x v="0"/>
    <n v="4.5999999999999996"/>
    <n v="0"/>
    <s v="Yes"/>
    <s v="None"/>
    <s v="Historical"/>
    <s v="Yes"/>
    <n v="2.6"/>
    <s v="Evening"/>
  </r>
  <r>
    <x v="0"/>
    <x v="0"/>
    <s v="Delhi"/>
    <s v="Humayun's Tomb"/>
    <x v="1"/>
    <n v="1572"/>
    <x v="1"/>
    <n v="4.5"/>
    <n v="30"/>
    <s v="Yes"/>
    <s v="None"/>
    <s v="Historical"/>
    <s v="Yes"/>
    <n v="0.4"/>
    <s v="Afternoon"/>
  </r>
  <r>
    <x v="0"/>
    <x v="0"/>
    <s v="Delhi"/>
    <s v="Akshardham Temple"/>
    <x v="2"/>
    <n v="2005"/>
    <x v="2"/>
    <n v="4.5999999999999996"/>
    <n v="60"/>
    <s v="Yes"/>
    <s v="None"/>
    <s v="Religious"/>
    <s v="No"/>
    <n v="0.4"/>
    <s v="Afternoon"/>
  </r>
  <r>
    <x v="0"/>
    <x v="0"/>
    <s v="Delhi"/>
    <s v="Waste to Wonder Park"/>
    <x v="3"/>
    <n v="2019"/>
    <x v="1"/>
    <n v="4.0999999999999996"/>
    <n v="50"/>
    <s v="Yes"/>
    <s v="Monday"/>
    <s v="Environmental"/>
    <s v="Yes"/>
    <n v="0.27"/>
    <s v="Evening"/>
  </r>
  <r>
    <x v="0"/>
    <x v="0"/>
    <s v="Delhi"/>
    <s v="Jantar Mantar"/>
    <x v="4"/>
    <n v="1724"/>
    <x v="1"/>
    <n v="4.2"/>
    <n v="15"/>
    <s v="Yes"/>
    <s v="None"/>
    <s v="Scientific"/>
    <s v="Yes"/>
    <n v="0.31"/>
    <s v="Morning"/>
  </r>
  <r>
    <x v="0"/>
    <x v="0"/>
    <s v="Delhi"/>
    <s v="Chandni Chowk"/>
    <x v="5"/>
    <n v="1700"/>
    <x v="3"/>
    <n v="4.2"/>
    <n v="0"/>
    <s v="Yes"/>
    <s v="Sunday"/>
    <s v="Market"/>
    <s v="Yes"/>
    <n v="0.25"/>
    <s v="Afternoon"/>
  </r>
  <r>
    <x v="0"/>
    <x v="0"/>
    <s v="Delhi"/>
    <s v="Lotus Temple"/>
    <x v="2"/>
    <n v="1986"/>
    <x v="4"/>
    <n v="4.5"/>
    <n v="0"/>
    <s v="Yes"/>
    <s v="Monday"/>
    <s v="Religious"/>
    <s v="Yes"/>
    <n v="0.59"/>
    <s v="Evening"/>
  </r>
  <r>
    <x v="0"/>
    <x v="0"/>
    <s v="Delhi"/>
    <s v="Red Fort"/>
    <x v="6"/>
    <n v="1648"/>
    <x v="1"/>
    <n v="4.5"/>
    <n v="35"/>
    <s v="Yes"/>
    <s v="None"/>
    <s v="Historical"/>
    <s v="Yes"/>
    <n v="1.5"/>
    <s v="Afternoon"/>
  </r>
  <r>
    <x v="0"/>
    <x v="0"/>
    <s v="Delhi"/>
    <s v="Agrasen ki Baoli"/>
    <x v="7"/>
    <n v="1400"/>
    <x v="4"/>
    <n v="4.2"/>
    <n v="0"/>
    <s v="Yes"/>
    <s v="None"/>
    <s v="Historical"/>
    <s v="Yes"/>
    <n v="0.41"/>
    <s v="Afternoon"/>
  </r>
  <r>
    <x v="0"/>
    <x v="0"/>
    <s v="Delhi"/>
    <s v="Sunder Nursery"/>
    <x v="8"/>
    <n v="1600"/>
    <x v="1"/>
    <n v="4.5999999999999996"/>
    <n v="0"/>
    <s v="Yes"/>
    <s v="None"/>
    <s v="Botanical"/>
    <s v="Yes"/>
    <n v="0.16"/>
    <s v="Afternoon"/>
  </r>
  <r>
    <x v="0"/>
    <x v="0"/>
    <s v="Delhi"/>
    <s v="Garden of Five Senses"/>
    <x v="8"/>
    <n v="2003"/>
    <x v="1"/>
    <n v="4.0999999999999996"/>
    <n v="35"/>
    <s v="Yes"/>
    <s v="None"/>
    <s v="Botanical"/>
    <s v="Yes"/>
    <n v="0.23"/>
    <s v="Morning"/>
  </r>
  <r>
    <x v="0"/>
    <x v="0"/>
    <s v="Delhi"/>
    <s v="Lodhi Garden"/>
    <x v="8"/>
    <n v="1500"/>
    <x v="4"/>
    <n v="4.5"/>
    <n v="0"/>
    <s v="Yes"/>
    <s v="None"/>
    <s v="Botanical"/>
    <s v="Yes"/>
    <n v="0.48"/>
    <s v="All"/>
  </r>
  <r>
    <x v="0"/>
    <x v="0"/>
    <s v="Delhi"/>
    <s v="National Gallery of Modern Art"/>
    <x v="9"/>
    <n v="1954"/>
    <x v="3"/>
    <n v="4.5"/>
    <n v="20"/>
    <s v="Yes"/>
    <s v="Monday"/>
    <s v="Artistic"/>
    <s v="Yes"/>
    <n v="0.08"/>
    <s v="All"/>
  </r>
  <r>
    <x v="0"/>
    <x v="0"/>
    <s v="Delhi"/>
    <s v="National Zoological Park "/>
    <x v="10"/>
    <n v="1959"/>
    <x v="3"/>
    <n v="4.0999999999999996"/>
    <n v="80"/>
    <s v="Yes"/>
    <s v="Friday"/>
    <s v="Environmental"/>
    <s v="Yes"/>
    <n v="0.41"/>
    <s v="All"/>
  </r>
  <r>
    <x v="0"/>
    <x v="0"/>
    <s v="Delhi"/>
    <s v="Qutub Minar"/>
    <x v="11"/>
    <n v="1192"/>
    <x v="4"/>
    <n v="4.5"/>
    <n v="35"/>
    <s v="Yes"/>
    <s v="None"/>
    <s v="Historical"/>
    <s v="Yes"/>
    <n v="1.37"/>
    <s v="Afternoon"/>
  </r>
  <r>
    <x v="0"/>
    <x v="0"/>
    <s v="Delhi"/>
    <s v="National Science Centre"/>
    <x v="12"/>
    <n v="1992"/>
    <x v="2"/>
    <n v="4.4000000000000004"/>
    <n v="70"/>
    <s v="Yes"/>
    <s v="None"/>
    <s v="Scientific"/>
    <s v="Yes"/>
    <n v="0.23"/>
    <s v="All"/>
  </r>
  <r>
    <x v="1"/>
    <x v="1"/>
    <s v="Mumbai"/>
    <s v="Marine Drive"/>
    <x v="13"/>
    <s v="Unknown"/>
    <x v="1"/>
    <n v="4.5"/>
    <n v="0"/>
    <s v="Yes"/>
    <s v="None"/>
    <s v="Scenic"/>
    <s v="Yes"/>
    <n v="1.5"/>
    <s v="Evening"/>
  </r>
  <r>
    <x v="1"/>
    <x v="1"/>
    <s v="Mumbai"/>
    <s v="Gateway of India"/>
    <x v="11"/>
    <n v="1924"/>
    <x v="4"/>
    <n v="4.5999999999999996"/>
    <n v="0"/>
    <s v="Yes"/>
    <s v="None"/>
    <s v="Historical"/>
    <s v="Yes"/>
    <n v="3.6"/>
    <s v="All"/>
  </r>
  <r>
    <x v="1"/>
    <x v="1"/>
    <s v="Mumbai"/>
    <s v="Chhatrapati Shivaji Maharaj Vastu Sangrahalaya"/>
    <x v="9"/>
    <n v="1922"/>
    <x v="4"/>
    <n v="4.5999999999999996"/>
    <n v="500"/>
    <s v="Yes"/>
    <s v="None"/>
    <s v="Historical"/>
    <s v="Yes"/>
    <n v="0.34"/>
    <s v="All"/>
  </r>
  <r>
    <x v="1"/>
    <x v="1"/>
    <s v="Mumbai"/>
    <s v="Sanjay Gandhi National Park"/>
    <x v="14"/>
    <n v="1996"/>
    <x v="3"/>
    <n v="4.3"/>
    <n v="50"/>
    <s v="Yes"/>
    <s v="Monday"/>
    <s v="Wildlife"/>
    <s v="Yes"/>
    <n v="0.6"/>
    <s v="All"/>
  </r>
  <r>
    <x v="1"/>
    <x v="1"/>
    <s v="Mumbai"/>
    <s v="Siddhivinayak Temple"/>
    <x v="2"/>
    <n v="1881"/>
    <x v="1"/>
    <n v="4.8"/>
    <n v="0"/>
    <s v="Yes"/>
    <s v="None"/>
    <s v="Religious"/>
    <s v="No"/>
    <n v="1.05"/>
    <s v="All"/>
  </r>
  <r>
    <x v="1"/>
    <x v="1"/>
    <s v="Mumbai"/>
    <s v="Mahalaxmi Temple"/>
    <x v="2"/>
    <n v="1831"/>
    <x v="4"/>
    <n v="4.7"/>
    <n v="0"/>
    <s v="Yes"/>
    <s v="None"/>
    <s v="Religious"/>
    <s v="No"/>
    <n v="0.33"/>
    <s v="All"/>
  </r>
  <r>
    <x v="1"/>
    <x v="1"/>
    <s v="Mumbai"/>
    <s v="Haji Ali Dargah"/>
    <x v="15"/>
    <n v="1431"/>
    <x v="1"/>
    <n v="4.4000000000000004"/>
    <n v="0"/>
    <s v="Yes"/>
    <s v="None"/>
    <s v="Religious"/>
    <s v="No"/>
    <n v="0.16"/>
    <s v="All"/>
  </r>
  <r>
    <x v="1"/>
    <x v="1"/>
    <s v="Mumbai"/>
    <s v="Chowpatty Beach"/>
    <x v="16"/>
    <s v="Unknown"/>
    <x v="1"/>
    <n v="4.3"/>
    <n v="0"/>
    <s v="Yes"/>
    <s v="None"/>
    <s v="Recreational"/>
    <s v="Yes"/>
    <n v="0.05"/>
    <s v="Evening"/>
  </r>
  <r>
    <x v="1"/>
    <x v="1"/>
    <s v="Mumbai"/>
    <s v="Essel World"/>
    <x v="17"/>
    <n v="1986"/>
    <x v="2"/>
    <n v="4.3"/>
    <n v="1149"/>
    <s v="Yes"/>
    <s v="None"/>
    <s v="Recreational"/>
    <s v="Yes"/>
    <n v="0.27"/>
    <s v="All"/>
  </r>
  <r>
    <x v="1"/>
    <x v="1"/>
    <s v="Mumbai"/>
    <s v="Elephanta Caves"/>
    <x v="11"/>
    <n v="1987"/>
    <x v="5"/>
    <n v="4.3"/>
    <n v="550"/>
    <s v="Yes"/>
    <s v="None"/>
    <s v="Historical"/>
    <s v="Yes"/>
    <n v="0.35"/>
    <s v="All "/>
  </r>
  <r>
    <x v="1"/>
    <x v="1"/>
    <s v="Lonavala"/>
    <s v="Imagicaa"/>
    <x v="17"/>
    <n v="2013"/>
    <x v="2"/>
    <n v="1.4"/>
    <n v="1149"/>
    <s v="No"/>
    <s v="Monday"/>
    <s v="Recreational"/>
    <s v="Yes"/>
    <n v="0.95"/>
    <s v="All"/>
  </r>
  <r>
    <x v="2"/>
    <x v="2"/>
    <s v="Bangalore"/>
    <s v="Bangalore Palace"/>
    <x v="18"/>
    <n v="1878"/>
    <x v="1"/>
    <n v="4.2"/>
    <n v="500"/>
    <s v="Yes"/>
    <s v="Monday"/>
    <s v="Historical"/>
    <s v="Yes"/>
    <n v="0.9"/>
    <s v="Morning"/>
  </r>
  <r>
    <x v="2"/>
    <x v="2"/>
    <s v="Bangalore"/>
    <s v="Lalbagh Botanical Garden"/>
    <x v="19"/>
    <n v="1760"/>
    <x v="6"/>
    <n v="4.4000000000000004"/>
    <n v="20"/>
    <s v="Yes"/>
    <s v="None"/>
    <s v="Nature"/>
    <s v="Yes"/>
    <n v="1.5"/>
    <s v="Evening"/>
  </r>
  <r>
    <x v="2"/>
    <x v="2"/>
    <s v="Bangalore"/>
    <s v="Cubbon Park"/>
    <x v="8"/>
    <n v="1870"/>
    <x v="4"/>
    <n v="4.4000000000000004"/>
    <n v="0"/>
    <s v="Yes"/>
    <s v="None"/>
    <s v="Nature"/>
    <s v="Yes"/>
    <n v="1.32"/>
    <s v="Morning"/>
  </r>
  <r>
    <x v="2"/>
    <x v="2"/>
    <s v="Bangalore"/>
    <s v="Vidhana Soudha"/>
    <x v="20"/>
    <n v="1956"/>
    <x v="0"/>
    <n v="4.5999999999999996"/>
    <n v="0"/>
    <s v="Yes"/>
    <s v="None"/>
    <s v="Architectural"/>
    <s v="No"/>
    <n v="0.8"/>
    <s v="Morning"/>
  </r>
  <r>
    <x v="2"/>
    <x v="2"/>
    <s v="Bangalore"/>
    <s v="ISKCON Temple Bangalore"/>
    <x v="2"/>
    <n v="1997"/>
    <x v="4"/>
    <n v="4.5999999999999996"/>
    <n v="0"/>
    <s v="Yes"/>
    <s v="None"/>
    <s v="Religious"/>
    <s v="Yes"/>
    <n v="1.1399999999999999"/>
    <s v="Evening"/>
  </r>
  <r>
    <x v="2"/>
    <x v="3"/>
    <s v="Hyderabad"/>
    <s v="Charminar"/>
    <x v="21"/>
    <n v="1591"/>
    <x v="4"/>
    <n v="4.5"/>
    <n v="25"/>
    <s v="Yes"/>
    <s v="Friday"/>
    <s v="Historical"/>
    <s v="Yes"/>
    <n v="2.1"/>
    <s v="Morning"/>
  </r>
  <r>
    <x v="2"/>
    <x v="3"/>
    <s v="Hyderabad"/>
    <s v="Golconda Fort"/>
    <x v="6"/>
    <n v="1600"/>
    <x v="1"/>
    <n v="4.4000000000000004"/>
    <n v="30"/>
    <s v="Yes"/>
    <s v="None"/>
    <s v="Historical"/>
    <s v="Yes"/>
    <n v="1.2"/>
    <s v="Morning"/>
  </r>
  <r>
    <x v="2"/>
    <x v="3"/>
    <s v="Hyderabad"/>
    <s v="Hussain Sagar Lake"/>
    <x v="22"/>
    <n v="1563"/>
    <x v="4"/>
    <n v="4.3"/>
    <n v="0"/>
    <s v="Yes"/>
    <s v="None"/>
    <s v="Scenic"/>
    <s v="Yes"/>
    <n v="0.5"/>
    <s v="Evening"/>
  </r>
  <r>
    <x v="2"/>
    <x v="3"/>
    <s v="Hyderabad"/>
    <s v="Ramoji Film City"/>
    <x v="23"/>
    <n v="1996"/>
    <x v="5"/>
    <n v="4.4000000000000004"/>
    <n v="1150"/>
    <s v="Yes"/>
    <s v="None"/>
    <s v="Entertainment"/>
    <s v="Yes"/>
    <n v="0.45"/>
    <s v="All"/>
  </r>
  <r>
    <x v="2"/>
    <x v="3"/>
    <s v="Hyderabad"/>
    <s v="Salar Jung Museum"/>
    <x v="9"/>
    <n v="1951"/>
    <x v="1"/>
    <n v="4.4000000000000004"/>
    <n v="20"/>
    <s v="Yes"/>
    <s v="None"/>
    <s v="Historical"/>
    <s v="Yes"/>
    <n v="0.67"/>
    <s v="All"/>
  </r>
  <r>
    <x v="2"/>
    <x v="3"/>
    <s v="Hyderabad"/>
    <s v="Qutb Shahi Tombs"/>
    <x v="24"/>
    <n v="1600"/>
    <x v="4"/>
    <n v="4.4000000000000004"/>
    <n v="25"/>
    <s v="Yes"/>
    <s v="None"/>
    <s v="Historical"/>
    <s v="Yes"/>
    <n v="0.2"/>
    <s v="Morning"/>
  </r>
  <r>
    <x v="2"/>
    <x v="3"/>
    <s v="Hyderabad"/>
    <s v="Birla Mandir"/>
    <x v="2"/>
    <n v="1976"/>
    <x v="4"/>
    <n v="4.7"/>
    <n v="0"/>
    <s v="Yes"/>
    <s v="None"/>
    <s v="Religious"/>
    <s v="No"/>
    <n v="0.41"/>
    <s v="All"/>
  </r>
  <r>
    <x v="2"/>
    <x v="3"/>
    <s v="Hyderabad"/>
    <s v="Chowmahalla Palace"/>
    <x v="18"/>
    <n v="1800"/>
    <x v="6"/>
    <n v="4.4000000000000004"/>
    <n v="80"/>
    <s v="Yes"/>
    <s v="None"/>
    <s v="Historical"/>
    <s v="Yes"/>
    <n v="0.45"/>
    <s v="Morning"/>
  </r>
  <r>
    <x v="2"/>
    <x v="3"/>
    <s v="Hyderabad"/>
    <s v="Nehru Zoological Park"/>
    <x v="10"/>
    <n v="1963"/>
    <x v="3"/>
    <n v="4.2"/>
    <n v="50"/>
    <s v="Yes"/>
    <s v="None"/>
    <s v="Wildlife"/>
    <s v="Yes"/>
    <n v="0.86"/>
    <s v="Morning"/>
  </r>
  <r>
    <x v="2"/>
    <x v="3"/>
    <s v="Hyderabad"/>
    <s v="Lumbini Park"/>
    <x v="8"/>
    <n v="1994"/>
    <x v="4"/>
    <n v="4.0999999999999996"/>
    <n v="20"/>
    <s v="Yes"/>
    <s v="None"/>
    <s v="Recreational"/>
    <s v="Yes"/>
    <n v="0.73"/>
    <s v="Evening"/>
  </r>
  <r>
    <x v="3"/>
    <x v="4"/>
    <s v="Kolkata"/>
    <s v="Victoria Memorial"/>
    <x v="9"/>
    <n v="1921"/>
    <x v="6"/>
    <n v="4.5999999999999996"/>
    <n v="30"/>
    <s v="Yes"/>
    <s v="Monday"/>
    <s v="Historical"/>
    <s v="Yes"/>
    <n v="0.73"/>
    <s v="Morning"/>
  </r>
  <r>
    <x v="3"/>
    <x v="4"/>
    <s v="Kolkata"/>
    <s v="Howrah Bridge"/>
    <x v="25"/>
    <n v="1943"/>
    <x v="0"/>
    <n v="4.5999999999999996"/>
    <n v="0"/>
    <s v="Yes"/>
    <s v="None"/>
    <s v="Architectural"/>
    <s v="No"/>
    <n v="1.2"/>
    <s v="Anytime"/>
  </r>
  <r>
    <x v="3"/>
    <x v="4"/>
    <s v="Kolkata"/>
    <s v="Indian Museum"/>
    <x v="9"/>
    <n v="1814"/>
    <x v="1"/>
    <n v="4.5999999999999996"/>
    <n v="50"/>
    <s v="Yes"/>
    <s v="Monday"/>
    <s v="Historical"/>
    <s v="Yes"/>
    <n v="0.18"/>
    <s v="Morning"/>
  </r>
  <r>
    <x v="3"/>
    <x v="4"/>
    <s v="Kolkata"/>
    <s v="Dakshineswar Kali Temple"/>
    <x v="2"/>
    <n v="1855"/>
    <x v="4"/>
    <n v="4.7"/>
    <n v="0"/>
    <s v="Yes"/>
    <s v="None"/>
    <s v="Religious"/>
    <s v="Yes"/>
    <n v="0.82"/>
    <s v="Morning"/>
  </r>
  <r>
    <x v="3"/>
    <x v="4"/>
    <s v="Kolkata"/>
    <s v="Kalighat Kali Temple"/>
    <x v="2"/>
    <n v="1809"/>
    <x v="4"/>
    <n v="4.4000000000000004"/>
    <n v="0"/>
    <s v="Yes"/>
    <s v="None"/>
    <s v="Religious"/>
    <s v="Yes"/>
    <n v="0.5"/>
    <s v="Morning"/>
  </r>
  <r>
    <x v="3"/>
    <x v="4"/>
    <s v="Kolkata"/>
    <s v="Eden Gardens"/>
    <x v="26"/>
    <n v="1864"/>
    <x v="3"/>
    <n v="4.0999999999999996"/>
    <n v="2500"/>
    <s v="Yes"/>
    <s v="None"/>
    <s v="Sports"/>
    <s v="Yes"/>
    <n v="0.1"/>
    <s v="All"/>
  </r>
  <r>
    <x v="3"/>
    <x v="4"/>
    <s v="Kolkata"/>
    <s v="Alipore Zoological Gardens"/>
    <x v="10"/>
    <n v="1876"/>
    <x v="1"/>
    <n v="4.3"/>
    <n v="25"/>
    <s v="Yes"/>
    <s v="None"/>
    <s v="Wildlife"/>
    <s v="Yes"/>
    <n v="0.66"/>
    <s v="Afternoon"/>
  </r>
  <r>
    <x v="3"/>
    <x v="4"/>
    <s v="Kolkata"/>
    <s v="Science City Kolkata"/>
    <x v="12"/>
    <n v="1997"/>
    <x v="3"/>
    <n v="4.4000000000000004"/>
    <n v="60"/>
    <s v="Yes"/>
    <s v="None"/>
    <s v="Educational"/>
    <s v="Yes"/>
    <n v="0.88"/>
    <s v="All"/>
  </r>
  <r>
    <x v="3"/>
    <x v="4"/>
    <s v="Kolkata"/>
    <s v="Belur Math"/>
    <x v="27"/>
    <n v="1898"/>
    <x v="6"/>
    <n v="4.7"/>
    <n v="0"/>
    <s v="Yes"/>
    <s v="None"/>
    <s v="Religious"/>
    <s v="Yes"/>
    <n v="0.47"/>
    <s v="Morning"/>
  </r>
  <r>
    <x v="3"/>
    <x v="4"/>
    <s v="Kolkata"/>
    <s v="Marble Palace"/>
    <x v="18"/>
    <n v="1835"/>
    <x v="4"/>
    <n v="4.4000000000000004"/>
    <n v="0"/>
    <s v="Yes"/>
    <s v="None"/>
    <s v="Historical"/>
    <s v="Yes"/>
    <n v="0.1"/>
    <s v="Afternoon"/>
  </r>
  <r>
    <x v="2"/>
    <x v="5"/>
    <s v="Goa"/>
    <s v="Calangute Beach"/>
    <x v="16"/>
    <s v="Unknown"/>
    <x v="1"/>
    <n v="4.4000000000000004"/>
    <n v="0"/>
    <s v="Yes"/>
    <s v="None"/>
    <s v="Scenic"/>
    <s v="Yes"/>
    <n v="0.26"/>
    <s v="Evening"/>
  </r>
  <r>
    <x v="2"/>
    <x v="5"/>
    <s v="Goa"/>
    <s v="Basilica of Bom Jesus"/>
    <x v="28"/>
    <n v="1605"/>
    <x v="4"/>
    <n v="4.5"/>
    <n v="0"/>
    <s v="Yes"/>
    <s v="None"/>
    <s v="Historical"/>
    <s v="Yes"/>
    <n v="0.59"/>
    <s v="Afternoon"/>
  </r>
  <r>
    <x v="2"/>
    <x v="5"/>
    <s v="Goa"/>
    <s v="Fort Aguada"/>
    <x v="6"/>
    <n v="1612"/>
    <x v="6"/>
    <n v="4.2"/>
    <n v="0"/>
    <s v="Yes"/>
    <s v="None"/>
    <s v="Historical"/>
    <s v="Yes"/>
    <n v="0.95"/>
    <s v="Morning"/>
  </r>
  <r>
    <x v="2"/>
    <x v="5"/>
    <s v="Goa"/>
    <s v="Dudhsagar Falls"/>
    <x v="29"/>
    <s v="Unknown"/>
    <x v="3"/>
    <n v="4.5999999999999996"/>
    <n v="500"/>
    <s v="Yes"/>
    <s v="None"/>
    <s v="Nature"/>
    <s v="Yes"/>
    <n v="0.3"/>
    <s v="Afternoon"/>
  </r>
  <r>
    <x v="2"/>
    <x v="5"/>
    <s v="Goa"/>
    <s v="Anjuna Beach"/>
    <x v="16"/>
    <s v="Unknown"/>
    <x v="1"/>
    <n v="4.4000000000000004"/>
    <n v="0"/>
    <s v="Yes"/>
    <s v="None"/>
    <s v="Scenic"/>
    <s v="Yes"/>
    <n v="0.18"/>
    <s v="Evening"/>
  </r>
  <r>
    <x v="2"/>
    <x v="5"/>
    <s v="Goa"/>
    <s v="Chapora Fort"/>
    <x v="6"/>
    <n v="1617"/>
    <x v="4"/>
    <n v="4.2"/>
    <n v="0"/>
    <s v="Yes"/>
    <s v="None"/>
    <s v="Historical"/>
    <s v="Yes"/>
    <n v="0.19"/>
    <s v="Evening"/>
  </r>
  <r>
    <x v="2"/>
    <x v="5"/>
    <s v="Goa"/>
    <s v="Se Cathedral"/>
    <x v="28"/>
    <n v="1640"/>
    <x v="4"/>
    <n v="4.5"/>
    <n v="0"/>
    <s v="Yes"/>
    <s v="None"/>
    <s v="Historical"/>
    <s v="Yes"/>
    <n v="0.05"/>
    <s v="Afternoon"/>
  </r>
  <r>
    <x v="2"/>
    <x v="5"/>
    <s v="Goa"/>
    <s v="Baga Beach"/>
    <x v="16"/>
    <s v="Unknown"/>
    <x v="1"/>
    <n v="4.5"/>
    <n v="0"/>
    <s v="Yes"/>
    <s v="None"/>
    <s v="Scenic"/>
    <s v="Yes"/>
    <n v="0.35"/>
    <s v="Evening"/>
  </r>
  <r>
    <x v="2"/>
    <x v="5"/>
    <s v="Goa"/>
    <s v="Arambol Beach"/>
    <x v="16"/>
    <s v="Unknown"/>
    <x v="1"/>
    <n v="4.5999999999999996"/>
    <n v="0"/>
    <s v="Yes"/>
    <s v="None"/>
    <s v="Scenic"/>
    <s v="Yes"/>
    <n v="0.1"/>
    <s v="Evening"/>
  </r>
  <r>
    <x v="2"/>
    <x v="5"/>
    <s v="Goa"/>
    <s v="Palolem Beach"/>
    <x v="16"/>
    <s v="Unknown"/>
    <x v="1"/>
    <n v="4.5999999999999996"/>
    <n v="0"/>
    <s v="Yes"/>
    <s v="None"/>
    <s v="Scenic"/>
    <s v="Yes"/>
    <n v="0.27"/>
    <s v="Evening"/>
  </r>
  <r>
    <x v="2"/>
    <x v="5"/>
    <s v="Goa"/>
    <s v="Colva Beach"/>
    <x v="16"/>
    <s v="Unknown"/>
    <x v="1"/>
    <n v="4.3"/>
    <n v="0"/>
    <s v="Yes"/>
    <s v="None"/>
    <s v="Scenic"/>
    <s v="Yes"/>
    <n v="0.1"/>
    <s v="Evening"/>
  </r>
  <r>
    <x v="2"/>
    <x v="5"/>
    <s v="Goa"/>
    <s v="Miramar Beach"/>
    <x v="16"/>
    <s v="Unknown"/>
    <x v="6"/>
    <n v="4.2"/>
    <n v="0"/>
    <s v="Yes"/>
    <s v="None"/>
    <s v="Scenic"/>
    <s v="Yes"/>
    <n v="0.3"/>
    <s v="Evening"/>
  </r>
  <r>
    <x v="2"/>
    <x v="5"/>
    <s v="Goa"/>
    <s v="Aguada Beach"/>
    <x v="16"/>
    <s v="Unknown"/>
    <x v="1"/>
    <n v="4.5"/>
    <n v="0"/>
    <s v="Yes"/>
    <s v="None"/>
    <s v="Scenic"/>
    <s v="Yes"/>
    <n v="0.01"/>
    <s v="Evening"/>
  </r>
  <r>
    <x v="2"/>
    <x v="5"/>
    <s v="Goa"/>
    <s v="Dr. Salim Ali Bird Santuary"/>
    <x v="30"/>
    <n v="1988"/>
    <x v="1"/>
    <n v="3.9"/>
    <n v="10"/>
    <s v="Yes"/>
    <s v="None"/>
    <s v="Wildlife"/>
    <s v="Yes"/>
    <n v="0.03"/>
    <s v="Afternoon"/>
  </r>
  <r>
    <x v="1"/>
    <x v="6"/>
    <s v="Ahmedabad"/>
    <s v="Sabarmati Ashram"/>
    <x v="31"/>
    <n v="1915"/>
    <x v="6"/>
    <n v="4.5999999999999996"/>
    <n v="0"/>
    <s v="Yes"/>
    <s v="None"/>
    <s v="Historical"/>
    <s v="Yes"/>
    <n v="0.35"/>
    <s v="Morning"/>
  </r>
  <r>
    <x v="1"/>
    <x v="6"/>
    <s v="Dwarka"/>
    <s v="Dwarkadhish Temple"/>
    <x v="2"/>
    <n v="-400"/>
    <x v="1"/>
    <n v="4.7"/>
    <n v="0"/>
    <s v="No"/>
    <s v="None"/>
    <s v="Religious"/>
    <s v="No"/>
    <n v="0.59"/>
    <s v="Evening"/>
  </r>
  <r>
    <x v="1"/>
    <x v="6"/>
    <s v="Junagadh"/>
    <s v="Gir National Park"/>
    <x v="14"/>
    <n v="1965"/>
    <x v="3"/>
    <n v="4.5"/>
    <n v="3500"/>
    <s v="No"/>
    <s v="None"/>
    <s v="Wildlife"/>
    <s v="Yes"/>
    <n v="0.08"/>
    <s v="Morning"/>
  </r>
  <r>
    <x v="1"/>
    <x v="6"/>
    <s v="Bhuj"/>
    <s v="White Desert"/>
    <x v="27"/>
    <n v="1950"/>
    <x v="7"/>
    <n v="4.5999999999999996"/>
    <n v="0"/>
    <s v="Yes"/>
    <s v="None"/>
    <s v="Nature"/>
    <s v="Yes"/>
    <n v="0.12"/>
    <s v="Evening"/>
  </r>
  <r>
    <x v="1"/>
    <x v="6"/>
    <s v="Vadodara"/>
    <s v="Laxmi Vilas Palace"/>
    <x v="18"/>
    <n v="1890"/>
    <x v="1"/>
    <n v="4.4000000000000004"/>
    <n v="200"/>
    <s v="Yes"/>
    <s v="Monday"/>
    <s v="Historical"/>
    <s v="Yes"/>
    <n v="0.17"/>
    <s v="Afternoon"/>
  </r>
  <r>
    <x v="1"/>
    <x v="6"/>
    <s v="Somnath"/>
    <s v="Somnath Temple"/>
    <x v="2"/>
    <n v="1951"/>
    <x v="1"/>
    <n v="4.8"/>
    <n v="0"/>
    <s v="No"/>
    <s v="None"/>
    <s v="Religious"/>
    <s v="No"/>
    <n v="0.39"/>
    <s v="Morning"/>
  </r>
  <r>
    <x v="1"/>
    <x v="6"/>
    <s v="Rann of Kutch"/>
    <s v="Rann Utsav"/>
    <x v="32"/>
    <s v="Unknown"/>
    <x v="3"/>
    <n v="4.9000000000000004"/>
    <n v="7500"/>
    <s v="Yes"/>
    <s v="None"/>
    <s v="Cultural"/>
    <s v="Yes"/>
    <n v="0.1"/>
    <s v="Evening"/>
  </r>
  <r>
    <x v="1"/>
    <x v="6"/>
    <s v="Kevadia"/>
    <s v="Statue of Unity"/>
    <x v="11"/>
    <n v="2018"/>
    <x v="3"/>
    <n v="4.5999999999999996"/>
    <n v="350"/>
    <s v="No"/>
    <s v="Monday"/>
    <s v="Historical"/>
    <s v="Yes"/>
    <n v="0.67"/>
    <s v="All"/>
  </r>
  <r>
    <x v="1"/>
    <x v="6"/>
    <s v="Gandhinagar"/>
    <s v="Dandi Kutir"/>
    <x v="9"/>
    <n v="2013"/>
    <x v="6"/>
    <n v="4.5"/>
    <n v="0"/>
    <s v="No"/>
    <s v="None"/>
    <s v="Historical"/>
    <s v="Yes"/>
    <n v="0.05"/>
    <s v="All"/>
  </r>
  <r>
    <x v="1"/>
    <x v="6"/>
    <s v="Ahmedabad"/>
    <s v="Sabarmati Riverfront"/>
    <x v="33"/>
    <n v="2012"/>
    <x v="4"/>
    <n v="4.5999999999999996"/>
    <n v="0"/>
    <s v="Yes"/>
    <s v="None"/>
    <s v="Recreational"/>
    <s v="Yes"/>
    <n v="0.1"/>
    <s v="Evening"/>
  </r>
  <r>
    <x v="1"/>
    <x v="6"/>
    <s v="Ahmedabad"/>
    <s v="Manek Chowk"/>
    <x v="5"/>
    <s v="Unknown"/>
    <x v="1"/>
    <n v="4.4000000000000004"/>
    <n v="0"/>
    <s v="Yes"/>
    <s v="None"/>
    <s v="Food"/>
    <s v="Yes"/>
    <n v="0.49"/>
    <s v="Night"/>
  </r>
  <r>
    <x v="1"/>
    <x v="6"/>
    <s v="Ahmedabad"/>
    <s v="Kankaria Lake"/>
    <x v="22"/>
    <n v="1451"/>
    <x v="3"/>
    <n v="4.5"/>
    <n v="10"/>
    <s v="Yes"/>
    <s v="None"/>
    <s v="Recreational"/>
    <s v="Yes"/>
    <n v="0.3"/>
    <s v="Afternoon"/>
  </r>
  <r>
    <x v="1"/>
    <x v="6"/>
    <s v="Ahmedabad"/>
    <s v="Science City"/>
    <x v="12"/>
    <n v="2002"/>
    <x v="8"/>
    <n v="4.4000000000000004"/>
    <n v="500"/>
    <s v="Yes"/>
    <s v="Monday"/>
    <s v="Educational"/>
    <s v="Yes"/>
    <n v="0.11"/>
    <s v="All"/>
  </r>
  <r>
    <x v="0"/>
    <x v="7"/>
    <s v="Jaipur"/>
    <s v="Hawa Mahal"/>
    <x v="18"/>
    <n v="1799"/>
    <x v="4"/>
    <n v="4.4000000000000004"/>
    <n v="50"/>
    <s v="Yes"/>
    <s v="None"/>
    <s v="Architectural"/>
    <s v="Yes"/>
    <n v="1.3"/>
    <s v="Morning"/>
  </r>
  <r>
    <x v="0"/>
    <x v="7"/>
    <s v="Udaipur"/>
    <s v="City Palace"/>
    <x v="18"/>
    <n v="1559"/>
    <x v="1"/>
    <n v="4.4000000000000004"/>
    <n v="300"/>
    <s v="Yes"/>
    <s v="None"/>
    <s v="Historical"/>
    <s v="Yes"/>
    <n v="0.51"/>
    <s v="All"/>
  </r>
  <r>
    <x v="0"/>
    <x v="7"/>
    <s v="Jaisalmer"/>
    <s v="Jaisalmer Fort"/>
    <x v="6"/>
    <n v="1156"/>
    <x v="7"/>
    <n v="4.4000000000000004"/>
    <n v="50"/>
    <s v="No"/>
    <s v="None"/>
    <s v="Historical"/>
    <s v="Yes"/>
    <n v="0.56000000000000005"/>
    <s v="All"/>
  </r>
  <r>
    <x v="0"/>
    <x v="7"/>
    <s v="Sawai Madhopur"/>
    <s v="Ranthambore National Park"/>
    <x v="34"/>
    <n v="1980"/>
    <x v="3"/>
    <n v="4.5999999999999996"/>
    <n v="500"/>
    <s v="No"/>
    <s v="None"/>
    <s v="Wildlife"/>
    <s v="Yes"/>
    <n v="0.09"/>
    <s v="All"/>
  </r>
  <r>
    <x v="0"/>
    <x v="7"/>
    <s v="Pushkar"/>
    <s v="Pushkar Lake"/>
    <x v="2"/>
    <n v="1400"/>
    <x v="6"/>
    <n v="4.4000000000000004"/>
    <n v="0"/>
    <s v="No"/>
    <s v="None"/>
    <s v="Religious"/>
    <s v="Yes"/>
    <n v="1.6"/>
    <s v="All"/>
  </r>
  <r>
    <x v="0"/>
    <x v="7"/>
    <s v="Ajmer"/>
    <s v="Ajmer Sharif Dargah"/>
    <x v="35"/>
    <n v="1236"/>
    <x v="4"/>
    <n v="4.5999999999999996"/>
    <n v="0"/>
    <s v="Yes"/>
    <s v="None"/>
    <s v="Religious"/>
    <s v="No"/>
    <n v="0.35"/>
    <s v="All"/>
  </r>
  <r>
    <x v="0"/>
    <x v="7"/>
    <s v="Jodhpur"/>
    <s v="Mehrangarh Fort"/>
    <x v="6"/>
    <n v="1459"/>
    <x v="1"/>
    <n v="4.5999999999999996"/>
    <n v="100"/>
    <s v="Yes"/>
    <s v="None"/>
    <s v="Historical"/>
    <s v="Yes"/>
    <n v="0.64"/>
    <s v="All"/>
  </r>
  <r>
    <x v="0"/>
    <x v="7"/>
    <s v="Chittorgarh"/>
    <s v="Chittorgarh Fort"/>
    <x v="6"/>
    <n v="700"/>
    <x v="1"/>
    <n v="4.5999999999999996"/>
    <n v="40"/>
    <s v="No"/>
    <s v="None"/>
    <s v="Historical"/>
    <s v="Yes"/>
    <n v="1.9"/>
    <s v="All"/>
  </r>
  <r>
    <x v="0"/>
    <x v="7"/>
    <s v="Mount Abu"/>
    <s v="Dilwara Temples"/>
    <x v="2"/>
    <n v="1100"/>
    <x v="4"/>
    <n v="4.5999999999999996"/>
    <n v="0"/>
    <s v="No"/>
    <s v="None"/>
    <s v="Religious"/>
    <s v="No"/>
    <n v="0.05"/>
    <s v="All"/>
  </r>
  <r>
    <x v="0"/>
    <x v="7"/>
    <s v="Bikaner"/>
    <s v="Junagarh Fort"/>
    <x v="6"/>
    <n v="1589"/>
    <x v="1"/>
    <n v="4.5"/>
    <n v="50"/>
    <s v="Yes"/>
    <s v="None"/>
    <s v="Historical"/>
    <s v="Yes"/>
    <n v="0.32"/>
    <s v="All"/>
  </r>
  <r>
    <x v="0"/>
    <x v="7"/>
    <s v="Jaipur"/>
    <s v="Amber Fort"/>
    <x v="6"/>
    <n v="1592"/>
    <x v="1"/>
    <n v="4.5999999999999996"/>
    <n v="100"/>
    <s v="Yes"/>
    <s v="None"/>
    <s v="Historical"/>
    <s v="Yes"/>
    <n v="1.5"/>
    <s v="All"/>
  </r>
  <r>
    <x v="0"/>
    <x v="7"/>
    <s v="Jaipur"/>
    <s v="Jaigarh Fort"/>
    <x v="6"/>
    <n v="1726"/>
    <x v="6"/>
    <n v="4.5"/>
    <n v="35"/>
    <s v="Yes"/>
    <s v="None"/>
    <s v="Historical"/>
    <s v="Yes"/>
    <n v="0.3"/>
    <s v="All"/>
  </r>
  <r>
    <x v="0"/>
    <x v="7"/>
    <s v="Udaipur"/>
    <s v="Lake Pichola"/>
    <x v="22"/>
    <n v="1362"/>
    <x v="4"/>
    <n v="4.5999999999999996"/>
    <n v="0"/>
    <s v="Yes"/>
    <s v="None"/>
    <s v="Nature"/>
    <s v="Yes"/>
    <n v="0.5"/>
    <s v="All"/>
  </r>
  <r>
    <x v="0"/>
    <x v="8"/>
    <s v="Amritsar"/>
    <s v="Golden Temple (Harmandir Sahib)"/>
    <x v="36"/>
    <n v="1604"/>
    <x v="6"/>
    <n v="4.9000000000000004"/>
    <n v="0"/>
    <s v="Yes"/>
    <s v="None"/>
    <s v="Spiritual"/>
    <s v="Yes"/>
    <n v="1.9"/>
    <s v="All"/>
  </r>
  <r>
    <x v="0"/>
    <x v="8"/>
    <s v="Amritsar"/>
    <s v="Jallianwala Bagh"/>
    <x v="37"/>
    <n v="1951"/>
    <x v="4"/>
    <n v="4.8"/>
    <n v="0"/>
    <s v="Yes"/>
    <s v="None"/>
    <s v="Historical"/>
    <s v="Yes"/>
    <n v="0.3"/>
    <s v="Afternoon"/>
  </r>
  <r>
    <x v="0"/>
    <x v="8"/>
    <s v="Amritsar"/>
    <s v="Wagah Border"/>
    <x v="38"/>
    <n v="1950"/>
    <x v="1"/>
    <n v="4.8"/>
    <n v="0"/>
    <s v="Yes"/>
    <s v="None"/>
    <s v="Cultural"/>
    <s v="Yes"/>
    <n v="0.17"/>
    <s v="Evening"/>
  </r>
  <r>
    <x v="0"/>
    <x v="8"/>
    <s v="Chandigarh"/>
    <s v="Rock Garden"/>
    <x v="39"/>
    <n v="1976"/>
    <x v="1"/>
    <n v="4.5"/>
    <n v="30"/>
    <s v="Yes"/>
    <s v="None"/>
    <s v="Artistic"/>
    <s v="Yes"/>
    <n v="0.5"/>
    <s v="All"/>
  </r>
  <r>
    <x v="2"/>
    <x v="9"/>
    <s v="Alappuzha"/>
    <s v="Alappuzha Beach"/>
    <x v="16"/>
    <s v="Unknown"/>
    <x v="6"/>
    <n v="4.5"/>
    <n v="0"/>
    <s v="Yes"/>
    <s v="None"/>
    <s v="Recreational"/>
    <s v="Yes"/>
    <n v="0.11"/>
    <s v="All"/>
  </r>
  <r>
    <x v="2"/>
    <x v="9"/>
    <s v="Munnar"/>
    <s v="Munnar Tea Gardens"/>
    <x v="40"/>
    <s v="Unknown"/>
    <x v="1"/>
    <n v="4.3"/>
    <n v="0"/>
    <s v="No"/>
    <s v="None"/>
    <s v="Nature"/>
    <s v="Yes"/>
    <n v="0.3"/>
    <s v="All"/>
  </r>
  <r>
    <x v="2"/>
    <x v="9"/>
    <s v="Kochi"/>
    <s v="Fort Kochi"/>
    <x v="27"/>
    <n v="1503"/>
    <x v="4"/>
    <n v="4.4000000000000004"/>
    <n v="0"/>
    <s v="Yes"/>
    <s v="None"/>
    <s v="Historical"/>
    <s v="Yes"/>
    <n v="0.1"/>
    <s v="All"/>
  </r>
  <r>
    <x v="2"/>
    <x v="9"/>
    <s v="Thiruvananthapuram"/>
    <s v="Padmanabhaswamy Temple"/>
    <x v="2"/>
    <s v="Unknown"/>
    <x v="4"/>
    <n v="4.7"/>
    <n v="0"/>
    <s v="Yes"/>
    <s v="None"/>
    <s v="Religious"/>
    <s v="No"/>
    <n v="0.46"/>
    <s v="All"/>
  </r>
  <r>
    <x v="2"/>
    <x v="9"/>
    <s v="Kozhikode"/>
    <s v="Kozhikode Beach"/>
    <x v="16"/>
    <s v="Unknown"/>
    <x v="6"/>
    <n v="3.9"/>
    <n v="0"/>
    <s v="Yes"/>
    <s v="None"/>
    <s v="Recreational"/>
    <s v="Yes"/>
    <n v="5.8999999999999997E-2"/>
    <s v="All"/>
  </r>
  <r>
    <x v="2"/>
    <x v="9"/>
    <s v="Wayanad"/>
    <s v="Wayanad Wildlife Sanctuary"/>
    <x v="34"/>
    <s v="Unknown"/>
    <x v="3"/>
    <n v="4.5"/>
    <n v="300"/>
    <s v="No"/>
    <s v="None"/>
    <s v="Wildlife"/>
    <s v="Yes"/>
    <n v="2.2000000000000002"/>
    <s v="All"/>
  </r>
  <r>
    <x v="2"/>
    <x v="9"/>
    <s v="Thekkady"/>
    <s v="Periyar National Park"/>
    <x v="14"/>
    <n v="1982"/>
    <x v="3"/>
    <n v="4.3"/>
    <n v="50"/>
    <s v="No"/>
    <s v="None"/>
    <s v="Wildlife"/>
    <s v="Yes"/>
    <n v="0.14000000000000001"/>
    <s v="All"/>
  </r>
  <r>
    <x v="2"/>
    <x v="9"/>
    <s v="Kumarakom"/>
    <s v="Kumarakom Bird Sanctuary"/>
    <x v="30"/>
    <n v="1972"/>
    <x v="1"/>
    <n v="3.8"/>
    <n v="50"/>
    <s v="Yes"/>
    <s v="None"/>
    <s v="Wildlife"/>
    <s v="Yes"/>
    <n v="0.1"/>
    <s v="All"/>
  </r>
  <r>
    <x v="2"/>
    <x v="9"/>
    <s v="Varkala"/>
    <s v="Varkala Beach"/>
    <x v="16"/>
    <s v="Unknown"/>
    <x v="1"/>
    <n v="4.5999999999999996"/>
    <n v="0"/>
    <s v="Yes"/>
    <s v="None"/>
    <s v="Recreational"/>
    <s v="Yes"/>
    <n v="0.1"/>
    <s v="All"/>
  </r>
  <r>
    <x v="2"/>
    <x v="9"/>
    <s v="Bekal"/>
    <s v="Bekal Fort"/>
    <x v="6"/>
    <n v="1650"/>
    <x v="6"/>
    <n v="4.5"/>
    <n v="20"/>
    <s v="No"/>
    <s v="None"/>
    <s v="Historical"/>
    <s v="Yes"/>
    <n v="0.22"/>
    <s v="All"/>
  </r>
  <r>
    <x v="2"/>
    <x v="9"/>
    <s v="Kovalam"/>
    <s v="Kovalam Beach"/>
    <x v="16"/>
    <s v="Unknown"/>
    <x v="1"/>
    <n v="4.4000000000000004"/>
    <n v="0"/>
    <s v="Yes"/>
    <s v="None"/>
    <s v="Recreational"/>
    <s v="Yes"/>
    <n v="0.68"/>
    <s v="All"/>
  </r>
  <r>
    <x v="2"/>
    <x v="9"/>
    <s v="Kannur"/>
    <s v="St. Angelo Fort"/>
    <x v="6"/>
    <n v="1505"/>
    <x v="4"/>
    <n v="4.4000000000000004"/>
    <n v="20"/>
    <s v="Yes"/>
    <s v="None"/>
    <s v="Historical"/>
    <s v="Yes"/>
    <n v="0.11"/>
    <s v="All"/>
  </r>
  <r>
    <x v="2"/>
    <x v="9"/>
    <s v="Nelliyampathy"/>
    <s v="Seethargundu Viewpoint"/>
    <x v="41"/>
    <s v="Unknown"/>
    <x v="4"/>
    <n v="4.5"/>
    <n v="0"/>
    <s v="No"/>
    <s v="None"/>
    <s v="Nature"/>
    <s v="Yes"/>
    <n v="0.03"/>
    <s v="Morning"/>
  </r>
  <r>
    <x v="2"/>
    <x v="9"/>
    <s v="Kochi"/>
    <s v="Kerala Folklore Museum"/>
    <x v="32"/>
    <n v="2009"/>
    <x v="6"/>
    <n v="4.4000000000000004"/>
    <n v="100"/>
    <s v="Yes"/>
    <s v="Monday"/>
    <s v="Cultural"/>
    <s v="Yes"/>
    <n v="0.1"/>
    <s v="All"/>
  </r>
  <r>
    <x v="2"/>
    <x v="9"/>
    <s v="Kochi"/>
    <s v="Wonderla Amusement Park"/>
    <x v="17"/>
    <n v="2016"/>
    <x v="9"/>
    <n v="4.5999999999999996"/>
    <n v="750"/>
    <s v="Yes"/>
    <s v="None"/>
    <s v="Entertainment"/>
    <s v="Yes"/>
    <n v="0.41"/>
    <s v="All"/>
  </r>
  <r>
    <x v="2"/>
    <x v="2"/>
    <s v="Mysore"/>
    <s v="Mysore Palace"/>
    <x v="18"/>
    <n v="1912"/>
    <x v="1"/>
    <n v="4.5999999999999996"/>
    <n v="50"/>
    <s v="Yes"/>
    <s v="None"/>
    <s v="Historical"/>
    <s v="Yes"/>
    <n v="2.5"/>
    <s v="All"/>
  </r>
  <r>
    <x v="2"/>
    <x v="2"/>
    <s v="Hampi"/>
    <s v="Hampi Archaeological Ruins"/>
    <x v="27"/>
    <s v="Unknown"/>
    <x v="3"/>
    <n v="4.7"/>
    <n v="0"/>
    <s v="No"/>
    <s v="None"/>
    <s v="Historical"/>
    <s v="Yes"/>
    <n v="0.05"/>
    <s v="All"/>
  </r>
  <r>
    <x v="2"/>
    <x v="2"/>
    <s v="Coorg"/>
    <s v="Abbey Falls"/>
    <x v="29"/>
    <s v="Unknown"/>
    <x v="4"/>
    <n v="4.0999999999999996"/>
    <n v="0"/>
    <s v="No"/>
    <s v="None"/>
    <s v="Nature"/>
    <s v="Yes"/>
    <n v="0.03"/>
    <s v="Morning"/>
  </r>
  <r>
    <x v="2"/>
    <x v="2"/>
    <s v="Gokarna"/>
    <s v="Om Beach"/>
    <x v="16"/>
    <s v="Unknown"/>
    <x v="1"/>
    <n v="4.5"/>
    <n v="0"/>
    <s v="No"/>
    <s v="None"/>
    <s v="Nature"/>
    <s v="Yes"/>
    <n v="0.09"/>
    <s v="All"/>
  </r>
  <r>
    <x v="2"/>
    <x v="2"/>
    <s v="Chikmagalur"/>
    <s v="Mullayanagiri"/>
    <x v="42"/>
    <s v="Unknown"/>
    <x v="3"/>
    <n v="4.5"/>
    <n v="0"/>
    <s v="No"/>
    <s v="None"/>
    <s v="Nature"/>
    <s v="Yes"/>
    <n v="0.05"/>
    <s v="All"/>
  </r>
  <r>
    <x v="2"/>
    <x v="2"/>
    <s v="Badami"/>
    <s v="Badami Cave Temples"/>
    <x v="43"/>
    <n v="600"/>
    <x v="6"/>
    <n v="4.5999999999999996"/>
    <n v="30"/>
    <s v="No"/>
    <s v="None"/>
    <s v="Religious"/>
    <s v="No"/>
    <n v="0.2"/>
    <s v="All"/>
  </r>
  <r>
    <x v="2"/>
    <x v="2"/>
    <s v="Shivamogga"/>
    <s v="Jog Falls"/>
    <x v="29"/>
    <n v="1900"/>
    <x v="6"/>
    <n v="4.5999999999999996"/>
    <n v="30"/>
    <s v="No"/>
    <s v="None"/>
    <s v="Nature"/>
    <s v="Yes"/>
    <n v="0.23"/>
    <s v="Morning"/>
  </r>
  <r>
    <x v="2"/>
    <x v="2"/>
    <s v="Mangalore"/>
    <s v="Panambur Beach"/>
    <x v="16"/>
    <s v="Unknown"/>
    <x v="6"/>
    <n v="4.5"/>
    <n v="0"/>
    <s v="Yes"/>
    <s v="None"/>
    <s v="Recreational"/>
    <s v="Yes"/>
    <n v="0.1"/>
    <s v="All"/>
  </r>
  <r>
    <x v="2"/>
    <x v="2"/>
    <s v="Murudeshwar"/>
    <s v="Murudeshwar Temple"/>
    <x v="2"/>
    <s v="Unknown"/>
    <x v="4"/>
    <n v="4.7"/>
    <n v="0"/>
    <s v="Yes"/>
    <s v="None"/>
    <s v="Religious"/>
    <s v="No"/>
    <n v="0.49"/>
    <s v="All"/>
  </r>
  <r>
    <x v="2"/>
    <x v="2"/>
    <s v="Bijapur"/>
    <s v="Gol Gumbaz"/>
    <x v="44"/>
    <n v="1656"/>
    <x v="6"/>
    <n v="4.5"/>
    <n v="20"/>
    <s v="No"/>
    <s v="None"/>
    <s v="Historical"/>
    <s v="Yes"/>
    <n v="0.25"/>
    <s v="All"/>
  </r>
  <r>
    <x v="2"/>
    <x v="2"/>
    <s v="Bandipur"/>
    <s v="Bandipur National Park"/>
    <x v="14"/>
    <n v="1974"/>
    <x v="3"/>
    <n v="4.4000000000000004"/>
    <n v="300"/>
    <s v="No"/>
    <s v="None"/>
    <s v="Wildlife"/>
    <s v="Yes"/>
    <n v="0.15"/>
    <s v="Morning"/>
  </r>
  <r>
    <x v="2"/>
    <x v="2"/>
    <s v="Halebidu"/>
    <s v="Halebidu Hoysaleswara Temple"/>
    <x v="2"/>
    <n v="1121"/>
    <x v="4"/>
    <n v="4.7"/>
    <n v="15"/>
    <s v="No"/>
    <s v="None"/>
    <s v="Religious"/>
    <s v="No"/>
    <n v="0.11"/>
    <s v="All"/>
  </r>
  <r>
    <x v="1"/>
    <x v="1"/>
    <s v="Pune"/>
    <s v="Shaniwar Wada"/>
    <x v="6"/>
    <n v="1732"/>
    <x v="1"/>
    <n v="4.4000000000000004"/>
    <n v="50"/>
    <s v="Yes"/>
    <s v="None"/>
    <s v="Historical"/>
    <s v="Yes"/>
    <n v="1.2"/>
    <s v="All"/>
  </r>
  <r>
    <x v="1"/>
    <x v="1"/>
    <s v="Aurangabad"/>
    <s v="Ajanta Caves"/>
    <x v="43"/>
    <n v="200"/>
    <x v="3"/>
    <n v="4.5999999999999996"/>
    <n v="30"/>
    <s v="Yes"/>
    <s v="Monday"/>
    <s v="Historical"/>
    <s v="Yes"/>
    <n v="0.21"/>
    <s v="Afternoon"/>
  </r>
  <r>
    <x v="1"/>
    <x v="1"/>
    <s v="Nashik"/>
    <s v="Sula Vineyards"/>
    <x v="45"/>
    <n v="1999"/>
    <x v="1"/>
    <n v="4.0999999999999996"/>
    <n v="300"/>
    <s v="Yes"/>
    <s v="None"/>
    <s v="Recreational"/>
    <s v="Yes"/>
    <n v="0.1"/>
    <s v="Afternoon"/>
  </r>
  <r>
    <x v="1"/>
    <x v="1"/>
    <s v="Shirdi"/>
    <s v="Sai Baba Temple"/>
    <x v="2"/>
    <n v="1922"/>
    <x v="6"/>
    <n v="4.7"/>
    <n v="0"/>
    <s v="Yes"/>
    <s v="None"/>
    <s v="Religious"/>
    <s v="No"/>
    <n v="0.69"/>
    <s v="All"/>
  </r>
  <r>
    <x v="1"/>
    <x v="1"/>
    <s v="Alibaug"/>
    <s v="Alibaug Beach"/>
    <x v="16"/>
    <s v="Unknown"/>
    <x v="6"/>
    <n v="4.2"/>
    <n v="0"/>
    <s v="Yes"/>
    <s v="None"/>
    <s v="Recreational"/>
    <s v="Yes"/>
    <n v="0.05"/>
    <s v="Evening"/>
  </r>
  <r>
    <x v="1"/>
    <x v="1"/>
    <s v="Ratnagiri"/>
    <s v="Ganapatipule Temple"/>
    <x v="2"/>
    <n v="1600"/>
    <x v="4"/>
    <n v="4.7"/>
    <n v="0"/>
    <s v="No"/>
    <s v="None"/>
    <s v="Religious"/>
    <s v="No"/>
    <n v="0.1"/>
    <s v="All"/>
  </r>
  <r>
    <x v="1"/>
    <x v="1"/>
    <s v="Nagpur"/>
    <s v="Deekshabhoomi"/>
    <x v="11"/>
    <n v="2001"/>
    <x v="4"/>
    <n v="4.5"/>
    <n v="0"/>
    <s v="Yes"/>
    <s v="None"/>
    <s v="Religious"/>
    <s v="Yes"/>
    <n v="0.11"/>
    <s v="Afternoon"/>
  </r>
  <r>
    <x v="1"/>
    <x v="1"/>
    <s v="Kolhapur"/>
    <s v="Mahalakshmi Temple"/>
    <x v="2"/>
    <n v="700"/>
    <x v="4"/>
    <n v="4.8"/>
    <n v="0"/>
    <s v="Yes"/>
    <s v="None"/>
    <s v="Religious"/>
    <s v="No"/>
    <n v="0.9"/>
    <s v="All"/>
  </r>
  <r>
    <x v="1"/>
    <x v="1"/>
    <s v="Lonavala"/>
    <s v="Karla Caves"/>
    <x v="43"/>
    <n v="200"/>
    <x v="6"/>
    <n v="4.4000000000000004"/>
    <n v="25"/>
    <s v="Yes"/>
    <s v="Yes"/>
    <s v="Historical"/>
    <s v="Yes"/>
    <n v="0.27"/>
    <s v="Afternoon"/>
  </r>
  <r>
    <x v="1"/>
    <x v="10"/>
    <s v="Tarkarli"/>
    <s v="Tarkarli Beach"/>
    <x v="16"/>
    <s v="Unknown"/>
    <x v="1"/>
    <n v="4.5999999999999996"/>
    <n v="0"/>
    <s v="No"/>
    <s v="None"/>
    <s v="Recreational"/>
    <s v="Yes"/>
    <n v="6.5000000000000002E-2"/>
    <s v="Evening"/>
  </r>
  <r>
    <x v="1"/>
    <x v="10"/>
    <s v="Satara"/>
    <s v="Kaas Plateau"/>
    <x v="46"/>
    <s v="Unknown"/>
    <x v="1"/>
    <n v="4.4000000000000004"/>
    <n v="300"/>
    <s v="No"/>
    <s v="None"/>
    <s v="Nature"/>
    <s v="Yes"/>
    <n v="0.05"/>
    <s v="Afternoon"/>
  </r>
  <r>
    <x v="1"/>
    <x v="10"/>
    <s v="Matheran"/>
    <s v="Echo Point"/>
    <x v="41"/>
    <n v="1828"/>
    <x v="6"/>
    <n v="4.4000000000000004"/>
    <n v="0"/>
    <s v="Yes"/>
    <s v="None"/>
    <s v="Nature"/>
    <s v="Yes"/>
    <n v="0.02"/>
    <s v="Morning"/>
  </r>
  <r>
    <x v="1"/>
    <x v="10"/>
    <s v="Ajanta"/>
    <s v="Ellora Caves"/>
    <x v="43"/>
    <n v="600"/>
    <x v="3"/>
    <n v="4.7"/>
    <n v="30"/>
    <s v="Yes"/>
    <s v="Tuesday"/>
    <s v="Historical"/>
    <s v="Yes"/>
    <n v="0.49"/>
    <s v="Afternoon"/>
  </r>
  <r>
    <x v="4"/>
    <x v="11"/>
    <s v="Khajuraho"/>
    <s v="Khajuraho Group of Monuments"/>
    <x v="47"/>
    <n v="-850"/>
    <x v="1"/>
    <n v="4.7"/>
    <n v="40"/>
    <s v="No"/>
    <s v="None"/>
    <s v="Cultural"/>
    <s v="Yes"/>
    <n v="0.09"/>
    <s v="Afternoon"/>
  </r>
  <r>
    <x v="4"/>
    <x v="11"/>
    <s v="Bhopal"/>
    <s v="Sanchi Stupa"/>
    <x v="11"/>
    <n v="-300"/>
    <x v="6"/>
    <n v="4.7"/>
    <n v="30"/>
    <s v="Yes"/>
    <s v="None"/>
    <s v="Historical"/>
    <s v="Yes"/>
    <n v="0.01"/>
    <s v="Afternoon"/>
  </r>
  <r>
    <x v="4"/>
    <x v="11"/>
    <s v="Indore"/>
    <s v="Rajwada Palace"/>
    <x v="18"/>
    <n v="1747"/>
    <x v="4"/>
    <n v="4.4000000000000004"/>
    <n v="10"/>
    <s v="Yes"/>
    <s v="None"/>
    <s v="Historical"/>
    <s v="Yes"/>
    <n v="0.63"/>
    <s v="Afternoon"/>
  </r>
  <r>
    <x v="4"/>
    <x v="11"/>
    <s v="Gwalior"/>
    <s v="Gwalior Fort"/>
    <x v="6"/>
    <n v="900"/>
    <x v="7"/>
    <n v="4.5"/>
    <n v="75"/>
    <s v="Yes"/>
    <s v="None"/>
    <s v="Historical"/>
    <s v="Yes"/>
    <n v="0.4"/>
    <s v="Morning"/>
  </r>
  <r>
    <x v="4"/>
    <x v="11"/>
    <s v="Ujjain"/>
    <s v="Mahakaleshwar Jyotirlinga"/>
    <x v="2"/>
    <n v="-3500"/>
    <x v="6"/>
    <n v="4.8"/>
    <n v="0"/>
    <s v="Yes"/>
    <s v="None"/>
    <s v="Religious"/>
    <s v="No"/>
    <n v="1.2"/>
    <s v="All"/>
  </r>
  <r>
    <x v="4"/>
    <x v="11"/>
    <s v="Jabalpur"/>
    <s v="Dhuandhar Falls"/>
    <x v="29"/>
    <s v="Unknown"/>
    <x v="4"/>
    <n v="4.5"/>
    <n v="0"/>
    <s v="No"/>
    <s v="None"/>
    <s v="Nature"/>
    <s v="Yes"/>
    <n v="0.01"/>
    <s v="Morning"/>
  </r>
  <r>
    <x v="4"/>
    <x v="11"/>
    <s v="Pachmarhi"/>
    <s v="Bee Falls"/>
    <x v="29"/>
    <s v="Unknown"/>
    <x v="6"/>
    <n v="4.5999999999999996"/>
    <n v="15"/>
    <s v="No"/>
    <s v="None"/>
    <s v="Nature"/>
    <s v="Yes"/>
    <n v="6.5000000000000002E-2"/>
    <s v="Morning"/>
  </r>
  <r>
    <x v="4"/>
    <x v="11"/>
    <s v="Kanha"/>
    <s v="Kanha National Park"/>
    <x v="34"/>
    <n v="1955"/>
    <x v="3"/>
    <n v="4.5"/>
    <n v="100"/>
    <s v="No"/>
    <s v="None"/>
    <s v="Wildlife"/>
    <s v="Yes"/>
    <n v="0.1"/>
    <s v="Morning"/>
  </r>
  <r>
    <x v="4"/>
    <x v="11"/>
    <s v="Bandhavgarh"/>
    <s v="Bandhavgarh National Park"/>
    <x v="14"/>
    <n v="1968"/>
    <x v="3"/>
    <n v="4.5"/>
    <n v="50"/>
    <s v="No"/>
    <s v="None"/>
    <s v="Wildlife"/>
    <s v="Yes"/>
    <n v="0.05"/>
    <s v="Morning"/>
  </r>
  <r>
    <x v="4"/>
    <x v="11"/>
    <s v="Orchha"/>
    <s v="Orchha Fort"/>
    <x v="6"/>
    <n v="1500"/>
    <x v="6"/>
    <n v="4.8"/>
    <n v="10"/>
    <s v="No"/>
    <s v="None"/>
    <s v="Historical"/>
    <s v="Yes"/>
    <n v="0.1"/>
    <s v="Afternoon"/>
  </r>
  <r>
    <x v="4"/>
    <x v="11"/>
    <s v="Mandu"/>
    <s v="Jahaz Mahal"/>
    <x v="27"/>
    <n v="1500"/>
    <x v="4"/>
    <n v="3.9"/>
    <n v="50"/>
    <s v="No"/>
    <s v="None"/>
    <s v="Historical"/>
    <s v="Yes"/>
    <n v="0.03"/>
    <s v="Afternoon"/>
  </r>
  <r>
    <x v="4"/>
    <x v="11"/>
    <s v="Bhimbetka"/>
    <s v="Bhimbetka Rock Shelters"/>
    <x v="48"/>
    <n v="1958"/>
    <x v="1"/>
    <n v="4.5999999999999996"/>
    <n v="25"/>
    <s v="No"/>
    <s v="None"/>
    <s v="Archaeological"/>
    <s v="Yes"/>
    <n v="7.0000000000000007E-2"/>
    <s v="Afternoon"/>
  </r>
  <r>
    <x v="4"/>
    <x v="11"/>
    <s v="Amarkantak"/>
    <s v="Narmada Udgam Temple"/>
    <x v="2"/>
    <n v="1200"/>
    <x v="4"/>
    <n v="4.4000000000000004"/>
    <n v="0"/>
    <s v="No"/>
    <s v="None"/>
    <s v="Religious"/>
    <s v="Yes"/>
    <n v="0.01"/>
    <s v="All"/>
  </r>
  <r>
    <x v="4"/>
    <x v="11"/>
    <s v="Chitrakoot"/>
    <s v="Chitrakoot Falls"/>
    <x v="29"/>
    <s v="Unknown"/>
    <x v="6"/>
    <n v="4.4000000000000004"/>
    <n v="0"/>
    <s v="No"/>
    <s v="None"/>
    <s v="Nature"/>
    <s v="Yes"/>
    <n v="0.1"/>
    <s v="Morning"/>
  </r>
  <r>
    <x v="0"/>
    <x v="12"/>
    <s v="Shimla"/>
    <s v="The Ridge"/>
    <x v="49"/>
    <s v="Unknown"/>
    <x v="4"/>
    <n v="4.7"/>
    <n v="0"/>
    <s v="Yes"/>
    <s v="None"/>
    <s v="Recreational"/>
    <s v="Yes"/>
    <n v="0.03"/>
    <s v="Morning"/>
  </r>
  <r>
    <x v="0"/>
    <x v="12"/>
    <s v="Manali"/>
    <s v="Solang Valley"/>
    <x v="46"/>
    <s v="Unknown"/>
    <x v="1"/>
    <n v="4.0999999999999996"/>
    <n v="0"/>
    <s v="No"/>
    <s v="None"/>
    <s v="Adventure"/>
    <s v="Yes"/>
    <n v="0.05"/>
    <s v="Morning"/>
  </r>
  <r>
    <x v="0"/>
    <x v="12"/>
    <s v="dalhousie"/>
    <s v="Dalai Lama Temple"/>
    <x v="2"/>
    <n v="1959"/>
    <x v="6"/>
    <n v="4.7"/>
    <n v="0"/>
    <s v="Yes"/>
    <s v="None"/>
    <s v="Religious"/>
    <s v="No"/>
    <n v="0.15"/>
    <s v="All"/>
  </r>
  <r>
    <x v="0"/>
    <x v="12"/>
    <s v="Dalhousie"/>
    <s v="Khajjiar Lake"/>
    <x v="22"/>
    <s v="Unknown"/>
    <x v="6"/>
    <n v="4.5"/>
    <n v="0"/>
    <s v="No"/>
    <s v="None"/>
    <s v="Nature"/>
    <s v="Yes"/>
    <n v="0.1"/>
    <s v="Morning"/>
  </r>
  <r>
    <x v="0"/>
    <x v="12"/>
    <s v="Spiti Valley"/>
    <s v="Key Monastery"/>
    <x v="50"/>
    <n v="1100"/>
    <x v="4"/>
    <n v="4.8"/>
    <n v="0"/>
    <s v="No"/>
    <s v="None"/>
    <s v="Religious"/>
    <s v="Yes"/>
    <n v="2.5000000000000001E-2"/>
    <s v="Morning"/>
  </r>
  <r>
    <x v="0"/>
    <x v="12"/>
    <s v="Kullu"/>
    <s v="Great Himalayan National Park"/>
    <x v="14"/>
    <n v="1984"/>
    <x v="3"/>
    <n v="4.5"/>
    <n v="50"/>
    <s v="No"/>
    <s v="None"/>
    <s v="Wildlife"/>
    <s v="Yes"/>
    <n v="0.2"/>
    <s v="All"/>
  </r>
  <r>
    <x v="0"/>
    <x v="12"/>
    <s v="Chamba"/>
    <s v="Chamera Lake"/>
    <x v="22"/>
    <s v="Unknown"/>
    <x v="1"/>
    <n v="4.4000000000000004"/>
    <n v="0"/>
    <s v="No"/>
    <s v="None"/>
    <s v="Recreational"/>
    <s v="Yes"/>
    <n v="0.01"/>
    <s v="Morning"/>
  </r>
  <r>
    <x v="0"/>
    <x v="12"/>
    <s v="Kinnaur"/>
    <s v="Sangla Valley"/>
    <x v="46"/>
    <s v="Unknown"/>
    <x v="1"/>
    <n v="4.5"/>
    <n v="0"/>
    <s v="No"/>
    <s v="None"/>
    <s v="Nature"/>
    <s v="Yes"/>
    <n v="0.01"/>
    <s v="Morning"/>
  </r>
  <r>
    <x v="0"/>
    <x v="12"/>
    <s v="Kangra"/>
    <s v="Kangra Fort"/>
    <x v="6"/>
    <n v="400"/>
    <x v="1"/>
    <n v="4.4000000000000004"/>
    <n v="150"/>
    <s v="Yes"/>
    <s v="None"/>
    <s v="Historical"/>
    <s v="Yes"/>
    <n v="0.1"/>
    <s v="All"/>
  </r>
  <r>
    <x v="0"/>
    <x v="12"/>
    <s v="Palampur"/>
    <s v="Tea Gardens"/>
    <x v="51"/>
    <n v="1950"/>
    <x v="6"/>
    <n v="4.5999999999999996"/>
    <n v="0"/>
    <s v="Yes"/>
    <s v="None"/>
    <s v="Agricultural"/>
    <s v="Yes"/>
    <n v="1.4999999999999999E-2"/>
    <s v="Morning"/>
  </r>
  <r>
    <x v="0"/>
    <x v="12"/>
    <s v="Mandi"/>
    <s v="Prashar Lake"/>
    <x v="22"/>
    <n v="1400"/>
    <x v="6"/>
    <n v="4.5999999999999996"/>
    <n v="0"/>
    <s v="No"/>
    <s v="None"/>
    <s v="Nature"/>
    <s v="Yes"/>
    <n v="0.01"/>
    <s v="Morning"/>
  </r>
  <r>
    <x v="0"/>
    <x v="12"/>
    <s v="Bir Billing"/>
    <s v="Paragliding Site"/>
    <x v="52"/>
    <n v="2005"/>
    <x v="1"/>
    <n v="4.8"/>
    <n v="2500"/>
    <s v="No"/>
    <s v="None"/>
    <s v="Adventure"/>
    <s v="Yes"/>
    <n v="0.01"/>
    <s v="All"/>
  </r>
  <r>
    <x v="0"/>
    <x v="12"/>
    <s v="McLeod Ganj"/>
    <s v="Triund Trek"/>
    <x v="53"/>
    <s v="Unknown"/>
    <x v="2"/>
    <n v="4.8"/>
    <n v="0"/>
    <s v="Yes"/>
    <s v="None"/>
    <s v="Adventure"/>
    <s v="Yes"/>
    <n v="0.01"/>
    <s v="Morning"/>
  </r>
  <r>
    <x v="0"/>
    <x v="12"/>
    <s v="Manikaran"/>
    <s v="Manikaran Sahib"/>
    <x v="54"/>
    <n v="1980"/>
    <x v="4"/>
    <n v="4.5999999999999996"/>
    <n v="0"/>
    <s v="No"/>
    <s v="None"/>
    <s v="Religious"/>
    <s v="Yes"/>
    <n v="1.3"/>
    <s v="Morning"/>
  </r>
  <r>
    <x v="0"/>
    <x v="12"/>
    <s v="Narkanda"/>
    <s v="Hatu Peak"/>
    <x v="41"/>
    <s v="Unknown"/>
    <x v="1"/>
    <n v="4.5"/>
    <n v="0"/>
    <s v="Yes"/>
    <s v="None"/>
    <s v="Nature"/>
    <s v="Yes"/>
    <n v="1.1000000000000001"/>
    <s v="All"/>
  </r>
  <r>
    <x v="0"/>
    <x v="12"/>
    <s v="Barot"/>
    <s v="Barot Valley"/>
    <x v="46"/>
    <s v="Unknown"/>
    <x v="1"/>
    <n v="4.7"/>
    <n v="0"/>
    <s v="No"/>
    <s v="None"/>
    <s v="Nature"/>
    <s v="Yes"/>
    <n v="1.2"/>
    <s v="Morning"/>
  </r>
  <r>
    <x v="0"/>
    <x v="12"/>
    <s v="Shoja"/>
    <s v="Serolsar Lake"/>
    <x v="22"/>
    <s v="Unknown"/>
    <x v="7"/>
    <n v="4.4000000000000004"/>
    <n v="0"/>
    <s v="No"/>
    <s v="None"/>
    <s v="Nature"/>
    <s v="Yes"/>
    <n v="0.9"/>
    <s v="Morning"/>
  </r>
  <r>
    <x v="0"/>
    <x v="12"/>
    <s v="Kufri"/>
    <s v="Kufri Fun World"/>
    <x v="55"/>
    <n v="1975"/>
    <x v="2"/>
    <n v="3.8"/>
    <n v="1500"/>
    <s v="Yes"/>
    <s v="None"/>
    <s v="Recreational"/>
    <s v="Yes"/>
    <n v="0.1"/>
    <s v="All"/>
  </r>
  <r>
    <x v="0"/>
    <x v="13"/>
    <s v="Nainital"/>
    <s v="Naini Lake"/>
    <x v="22"/>
    <s v="Unknown"/>
    <x v="6"/>
    <n v="4.2"/>
    <n v="0"/>
    <s v="Yes"/>
    <s v="None"/>
    <s v="Nature"/>
    <s v="Yes"/>
    <n v="0.01"/>
    <s v="Morning"/>
  </r>
  <r>
    <x v="0"/>
    <x v="13"/>
    <s v="Rishikesh"/>
    <s v="Laxman Jhula"/>
    <x v="56"/>
    <n v="1939"/>
    <x v="4"/>
    <n v="4.4000000000000004"/>
    <n v="0"/>
    <s v="Yes"/>
    <s v="None"/>
    <s v="Cultural"/>
    <s v="Yes"/>
    <n v="0.03"/>
    <s v="Morning"/>
  </r>
  <r>
    <x v="0"/>
    <x v="13"/>
    <s v="Haridwar"/>
    <s v="Har Ki Pauri"/>
    <x v="57"/>
    <s v="Unknown"/>
    <x v="4"/>
    <n v="4.5"/>
    <n v="0"/>
    <s v="Yes"/>
    <s v="None"/>
    <s v="Religious"/>
    <s v="Yes"/>
    <n v="2.5000000000000001E-2"/>
    <s v="All"/>
  </r>
  <r>
    <x v="0"/>
    <x v="13"/>
    <s v="Dehradun"/>
    <s v="Robber's Cave"/>
    <x v="43"/>
    <s v="Unknown"/>
    <x v="6"/>
    <n v="4.5"/>
    <n v="25"/>
    <s v="Yes"/>
    <s v="None"/>
    <s v="Nature"/>
    <s v="Yes"/>
    <n v="0.01"/>
    <s v="Morning"/>
  </r>
  <r>
    <x v="0"/>
    <x v="13"/>
    <s v="Mussoorie"/>
    <s v="Kempty Falls"/>
    <x v="29"/>
    <s v="Unknown"/>
    <x v="6"/>
    <n v="4.2"/>
    <n v="15"/>
    <s v="Yes"/>
    <s v="None"/>
    <s v="Nature"/>
    <s v="Yes"/>
    <n v="0.55000000000000004"/>
    <s v="Morning"/>
  </r>
  <r>
    <x v="0"/>
    <x v="13"/>
    <s v="Auli"/>
    <s v="Auli Ski Resort"/>
    <x v="55"/>
    <n v="1990"/>
    <x v="3"/>
    <n v="4.5"/>
    <n v="0"/>
    <s v="No"/>
    <s v="None"/>
    <s v="Adventure"/>
    <s v="Yes"/>
    <n v="0.01"/>
    <s v="Morning"/>
  </r>
  <r>
    <x v="0"/>
    <x v="13"/>
    <s v="Badrinath"/>
    <s v="Badrinath Temple"/>
    <x v="2"/>
    <n v="-820"/>
    <x v="4"/>
    <n v="4.8"/>
    <n v="0"/>
    <s v="No"/>
    <s v="None"/>
    <s v="Religious"/>
    <s v="No"/>
    <n v="0.28999999999999998"/>
    <s v="All"/>
  </r>
  <r>
    <x v="0"/>
    <x v="13"/>
    <s v="Almora"/>
    <s v="Binsar Wildlife Sanctuary"/>
    <x v="34"/>
    <n v="1988"/>
    <x v="1"/>
    <n v="4.3"/>
    <n v="150"/>
    <s v="No"/>
    <s v="None"/>
    <s v="Wildlife"/>
    <s v="Yes"/>
    <n v="0.01"/>
    <s v="All"/>
  </r>
  <r>
    <x v="0"/>
    <x v="13"/>
    <s v="Ranikhet"/>
    <s v="Chaubatia Gardens"/>
    <x v="58"/>
    <n v="1868"/>
    <x v="4"/>
    <n v="4"/>
    <n v="50"/>
    <s v="No"/>
    <s v="None"/>
    <s v="Recreational"/>
    <s v="Yes"/>
    <n v="2.5000000000000001E-2"/>
    <s v="All"/>
  </r>
  <r>
    <x v="0"/>
    <x v="13"/>
    <s v="Jim Corbett"/>
    <s v="Jim Corbett National Park"/>
    <x v="14"/>
    <n v="1936"/>
    <x v="3"/>
    <n v="4.4000000000000004"/>
    <n v="100"/>
    <s v="Yes"/>
    <s v="None"/>
    <s v="Wildlife"/>
    <s v="Yes"/>
    <n v="0.3"/>
    <s v="All"/>
  </r>
  <r>
    <x v="0"/>
    <x v="13"/>
    <s v="Uttarkashi"/>
    <s v="Gangotri Temple"/>
    <x v="2"/>
    <n v="1751"/>
    <x v="4"/>
    <n v="4.8"/>
    <n v="0"/>
    <s v="No"/>
    <s v="None"/>
    <s v="Religious"/>
    <s v="No"/>
    <n v="0.05"/>
    <s v="All"/>
  </r>
  <r>
    <x v="0"/>
    <x v="13"/>
    <s v="Chopta"/>
    <s v="Tungnath Temple"/>
    <x v="2"/>
    <n v="751"/>
    <x v="1"/>
    <n v="4.8"/>
    <n v="0"/>
    <s v="No"/>
    <s v="None"/>
    <s v="Religious"/>
    <s v="No"/>
    <n v="0.09"/>
    <s v="All"/>
  </r>
  <r>
    <x v="0"/>
    <x v="13"/>
    <s v="Joshimath"/>
    <s v="Valley of Flowers"/>
    <x v="14"/>
    <n v="1982"/>
    <x v="2"/>
    <n v="4.7"/>
    <n v="150"/>
    <s v="No"/>
    <s v="None"/>
    <s v="Nature"/>
    <s v="Yes"/>
    <n v="3.5000000000000003E-2"/>
    <s v="Morning"/>
  </r>
  <r>
    <x v="4"/>
    <x v="14"/>
    <s v="Agra"/>
    <s v="Taj Mahal"/>
    <x v="44"/>
    <n v="1632"/>
    <x v="1"/>
    <n v="4.5999999999999996"/>
    <n v="50"/>
    <s v="Yes"/>
    <s v="Friday"/>
    <s v="Historical"/>
    <s v="Yes"/>
    <n v="2.25"/>
    <s v="Morning"/>
  </r>
  <r>
    <x v="4"/>
    <x v="14"/>
    <s v="Varanasi"/>
    <s v="Kashi Vishwanath Temple"/>
    <x v="2"/>
    <s v="Unknown"/>
    <x v="4"/>
    <n v="4.7"/>
    <n v="0"/>
    <s v="Yes"/>
    <s v="None"/>
    <s v="Religious"/>
    <s v="No"/>
    <n v="0.9"/>
    <s v="All"/>
  </r>
  <r>
    <x v="4"/>
    <x v="14"/>
    <s v="Lucknow"/>
    <s v="Bara Imambara"/>
    <x v="11"/>
    <n v="1784"/>
    <x v="6"/>
    <n v="4.4000000000000004"/>
    <n v="50"/>
    <s v="Yes"/>
    <s v="Monday"/>
    <s v="Historical"/>
    <s v="No"/>
    <n v="0.45"/>
    <s v="All"/>
  </r>
  <r>
    <x v="4"/>
    <x v="14"/>
    <s v="Mathura"/>
    <s v="Krishna Janmabhoomi"/>
    <x v="2"/>
    <s v="Unknown"/>
    <x v="4"/>
    <n v="4.7"/>
    <n v="0"/>
    <s v="Yes"/>
    <s v="None"/>
    <s v="Religious"/>
    <s v="No"/>
    <n v="0.13"/>
    <s v="All"/>
  </r>
  <r>
    <x v="4"/>
    <x v="14"/>
    <s v="Ayodhya"/>
    <s v="Ram Janmabhoomi"/>
    <x v="36"/>
    <s v="Unknown"/>
    <x v="4"/>
    <n v="4.8"/>
    <n v="0"/>
    <s v="Yes"/>
    <s v="None"/>
    <s v="Religious"/>
    <s v="No"/>
    <n v="2.5000000000000001E-2"/>
    <s v="All"/>
  </r>
  <r>
    <x v="4"/>
    <x v="14"/>
    <s v="Vrindavan"/>
    <s v="Banke Bihari Temple"/>
    <x v="2"/>
    <n v="1864"/>
    <x v="4"/>
    <n v="4.8"/>
    <n v="0"/>
    <s v="Yes"/>
    <s v="None"/>
    <s v="Religious"/>
    <s v="No"/>
    <n v="0.37"/>
    <s v="All"/>
  </r>
  <r>
    <x v="4"/>
    <x v="14"/>
    <s v="Allahabad"/>
    <s v="Triveni Sangam"/>
    <x v="59"/>
    <s v="Unknown"/>
    <x v="4"/>
    <n v="4.5"/>
    <n v="0"/>
    <s v="Yes"/>
    <s v="None"/>
    <s v="Religious"/>
    <s v="Yes"/>
    <n v="0.09"/>
    <s v="Morning"/>
  </r>
  <r>
    <x v="4"/>
    <x v="14"/>
    <s v="Jhansi"/>
    <s v="Jhansi Fort"/>
    <x v="6"/>
    <n v="1613"/>
    <x v="6"/>
    <n v="4.4000000000000004"/>
    <n v="15"/>
    <s v="Yes"/>
    <s v="None"/>
    <s v="Historical"/>
    <s v="Yes"/>
    <n v="0.25"/>
    <s v="All"/>
  </r>
  <r>
    <x v="4"/>
    <x v="14"/>
    <s v="Sarnath"/>
    <s v="Dhamek Stupa"/>
    <x v="11"/>
    <n v="-500"/>
    <x v="4"/>
    <n v="4.5999999999999996"/>
    <n v="5"/>
    <s v="Yes"/>
    <s v="None"/>
    <s v="Historical"/>
    <s v="Yes"/>
    <n v="6.5000000000000002E-2"/>
    <s v="All"/>
  </r>
  <r>
    <x v="4"/>
    <x v="14"/>
    <s v="Fatehpur Sikri"/>
    <s v="Buland Darwaza"/>
    <x v="11"/>
    <n v="1571"/>
    <x v="1"/>
    <n v="4.4000000000000004"/>
    <n v="40"/>
    <s v="Yes"/>
    <s v="None"/>
    <s v="Historical"/>
    <s v="Yes"/>
    <n v="7.0000000000000007E-2"/>
    <s v="Afternoon"/>
  </r>
  <r>
    <x v="4"/>
    <x v="14"/>
    <s v="Noida"/>
    <s v="Okhla Bird Sanctuary"/>
    <x v="30"/>
    <n v="1990"/>
    <x v="6"/>
    <n v="4.3"/>
    <n v="30"/>
    <s v="Yes"/>
    <s v="None"/>
    <s v="Wildlife"/>
    <s v="Yes"/>
    <n v="3.5000000000000003E-2"/>
    <s v="All"/>
  </r>
  <r>
    <x v="4"/>
    <x v="14"/>
    <s v="Aligarh"/>
    <s v="Aligarh Fort"/>
    <x v="6"/>
    <n v="1524"/>
    <x v="4"/>
    <n v="4.0999999999999996"/>
    <n v="20"/>
    <s v="Yes"/>
    <s v="None"/>
    <s v="Historical"/>
    <s v="Yes"/>
    <n v="1.6500000000000001E-2"/>
    <s v="Afternoon"/>
  </r>
  <r>
    <x v="4"/>
    <x v="14"/>
    <s v="Meerut"/>
    <s v="Augarnath Temple"/>
    <x v="2"/>
    <s v="Unknown"/>
    <x v="4"/>
    <n v="4.8"/>
    <n v="0"/>
    <s v="Yes"/>
    <s v="None"/>
    <s v="Religious"/>
    <s v="No"/>
    <n v="4.4999999999999998E-2"/>
    <s v="All"/>
  </r>
  <r>
    <x v="4"/>
    <x v="14"/>
    <s v="Kanpur"/>
    <s v="Allen Forest Zoo"/>
    <x v="10"/>
    <n v="1971"/>
    <x v="1"/>
    <n v="4.2"/>
    <n v="150"/>
    <s v="Yes"/>
    <s v="Monday"/>
    <s v="Wildlife"/>
    <s v="Yes"/>
    <n v="0.21"/>
    <s v="All"/>
  </r>
  <r>
    <x v="0"/>
    <x v="15"/>
    <s v="Srinagar"/>
    <s v="Dal Lake"/>
    <x v="22"/>
    <s v="Unknown"/>
    <x v="1"/>
    <n v="4.5999999999999996"/>
    <n v="0"/>
    <s v="Yes"/>
    <s v="None"/>
    <s v="Nature"/>
    <s v="Yes"/>
    <n v="0.15"/>
    <s v="Morning"/>
  </r>
  <r>
    <x v="0"/>
    <x v="16"/>
    <s v="Leh"/>
    <s v="Pangong Tso"/>
    <x v="22"/>
    <s v="Unknown"/>
    <x v="1"/>
    <n v="4.9000000000000004"/>
    <n v="20"/>
    <s v="Yes"/>
    <s v="None"/>
    <s v="Nature"/>
    <s v="Yes"/>
    <n v="0.15"/>
    <s v="Morning"/>
  </r>
  <r>
    <x v="0"/>
    <x v="15"/>
    <s v="Pahalgam"/>
    <s v="Betaab Valley"/>
    <x v="46"/>
    <s v="Unknown"/>
    <x v="1"/>
    <n v="4.5999999999999996"/>
    <n v="100"/>
    <s v="No"/>
    <s v="None"/>
    <s v="Nature"/>
    <s v="Yes"/>
    <n v="0.11"/>
    <s v="All"/>
  </r>
  <r>
    <x v="0"/>
    <x v="15"/>
    <s v="Jammu"/>
    <s v="Vaishno Devi"/>
    <x v="2"/>
    <s v="Unknown"/>
    <x v="2"/>
    <n v="4.7"/>
    <n v="0"/>
    <s v="Yes"/>
    <s v="None"/>
    <s v="Religious"/>
    <s v="No"/>
    <n v="0.55000000000000004"/>
    <s v="All"/>
  </r>
  <r>
    <x v="0"/>
    <x v="15"/>
    <s v="Udhampur"/>
    <s v="Patnitop Height"/>
    <x v="60"/>
    <s v="Unknown"/>
    <x v="1"/>
    <n v="4.0999999999999996"/>
    <n v="0"/>
    <s v="No"/>
    <s v="None"/>
    <s v="Recreational"/>
    <s v="Yes"/>
    <n v="0.01"/>
    <s v="All"/>
  </r>
  <r>
    <x v="0"/>
    <x v="15"/>
    <s v="Anantnag"/>
    <s v="Amarnath Cave"/>
    <x v="2"/>
    <s v="Unknown"/>
    <x v="10"/>
    <n v="4.5"/>
    <n v="0"/>
    <s v="No"/>
    <s v="None"/>
    <s v="Religious"/>
    <s v="Yes"/>
    <n v="0.11"/>
    <s v="All"/>
  </r>
  <r>
    <x v="0"/>
    <x v="16"/>
    <s v="Leh"/>
    <s v="Thiksey Monastery"/>
    <x v="50"/>
    <n v="1430"/>
    <x v="6"/>
    <n v="4.7"/>
    <n v="20"/>
    <s v="Yes"/>
    <s v="None"/>
    <s v="Religious"/>
    <s v="No"/>
    <n v="0.05"/>
    <s v="All"/>
  </r>
  <r>
    <x v="0"/>
    <x v="16"/>
    <s v="Nubra Valley"/>
    <s v="Nubra Valley"/>
    <x v="46"/>
    <s v="Unknown"/>
    <x v="1"/>
    <n v="4.5"/>
    <n v="0"/>
    <s v="No"/>
    <s v="None"/>
    <s v="Nature"/>
    <s v="Yes"/>
    <n v="0.1"/>
    <s v="All"/>
  </r>
  <r>
    <x v="0"/>
    <x v="16"/>
    <s v="Kargil"/>
    <s v="Kargil War Memorial"/>
    <x v="0"/>
    <n v="24"/>
    <x v="4"/>
    <n v="4.8"/>
    <n v="0"/>
    <s v="No"/>
    <s v="None"/>
    <s v="Historical"/>
    <s v="Yes"/>
    <n v="1.0999999999999999E-2"/>
    <s v="All"/>
  </r>
  <r>
    <x v="0"/>
    <x v="16"/>
    <s v="Diskit"/>
    <s v="Diskit Monastery"/>
    <x v="50"/>
    <n v="1351"/>
    <x v="4"/>
    <n v="4.7"/>
    <n v="20"/>
    <s v="No"/>
    <s v="None"/>
    <s v="Religious"/>
    <s v="No"/>
    <n v="1.4999999999999999E-2"/>
    <s v="Morning"/>
  </r>
  <r>
    <x v="0"/>
    <x v="15"/>
    <s v="Kishtwar"/>
    <s v="Kishtwar National Park"/>
    <x v="14"/>
    <n v="1981"/>
    <x v="3"/>
    <n v="4.3"/>
    <n v="100"/>
    <s v="No"/>
    <s v="None"/>
    <s v="Wildlife"/>
    <s v="Yes"/>
    <n v="0.01"/>
    <s v="All"/>
  </r>
  <r>
    <x v="0"/>
    <x v="16"/>
    <s v="Hemis"/>
    <s v="Hemis National Park"/>
    <x v="14"/>
    <n v="1981"/>
    <x v="5"/>
    <n v="4.4000000000000004"/>
    <n v="20"/>
    <s v="No"/>
    <s v="None"/>
    <s v="Wildlife"/>
    <s v="Yes"/>
    <n v="0.02"/>
    <s v="All"/>
  </r>
  <r>
    <x v="0"/>
    <x v="16"/>
    <s v="Dras"/>
    <s v="Dras War Memorial"/>
    <x v="0"/>
    <s v="Unknown"/>
    <x v="4"/>
    <n v="4.8"/>
    <n v="0"/>
    <s v="No"/>
    <s v="None"/>
    <s v="Historical"/>
    <s v="Yes"/>
    <n v="1.2E-2"/>
    <s v="All"/>
  </r>
  <r>
    <x v="0"/>
    <x v="16"/>
    <s v="Leh"/>
    <s v="Magnetic Hill"/>
    <x v="61"/>
    <s v="Unknown"/>
    <x v="0"/>
    <n v="3.7"/>
    <n v="0"/>
    <s v="Yes"/>
    <s v="None"/>
    <s v="Nature"/>
    <s v="Yes"/>
    <n v="0.1"/>
    <s v="All"/>
  </r>
  <r>
    <x v="0"/>
    <x v="16"/>
    <s v="Leh"/>
    <s v="Khardung La Pass"/>
    <x v="60"/>
    <s v="Unknown"/>
    <x v="4"/>
    <n v="4.5"/>
    <n v="0"/>
    <s v="Yes"/>
    <s v="None"/>
    <s v="Adventure"/>
    <s v="Yes"/>
    <n v="0.05"/>
    <s v="Afternoon"/>
  </r>
  <r>
    <x v="0"/>
    <x v="16"/>
    <s v="Leh"/>
    <s v="Thiksey Monastery"/>
    <x v="50"/>
    <n v="1430"/>
    <x v="6"/>
    <n v="4.7"/>
    <n v="30"/>
    <s v="Yes"/>
    <s v="None"/>
    <s v="Religious"/>
    <s v="No"/>
    <n v="0.05"/>
    <s v="All"/>
  </r>
  <r>
    <x v="4"/>
    <x v="14"/>
    <s v="Vrindavan"/>
    <s v="Prem Mandir"/>
    <x v="2"/>
    <n v="2012"/>
    <x v="6"/>
    <n v="4.8"/>
    <n v="0"/>
    <s v="Yes"/>
    <s v="None"/>
    <s v="Religious"/>
    <s v="Yes"/>
    <n v="0.49"/>
    <s v="Evening"/>
  </r>
  <r>
    <x v="4"/>
    <x v="14"/>
    <s v="Porbandar"/>
    <s v="Kirti Mandir"/>
    <x v="37"/>
    <n v="1950"/>
    <x v="4"/>
    <n v="4.8"/>
    <n v="0"/>
    <s v="Yes"/>
    <s v="None"/>
    <s v="Historical"/>
    <s v="Yes"/>
    <n v="0.03"/>
    <s v="Morning"/>
  </r>
  <r>
    <x v="4"/>
    <x v="14"/>
    <s v="Mathura"/>
    <s v="Nand Gaon"/>
    <x v="62"/>
    <s v="Unknown"/>
    <x v="4"/>
    <n v="4.0999999999999996"/>
    <n v="0"/>
    <s v="Yes"/>
    <s v="None"/>
    <s v="Cultural"/>
    <s v="Yes"/>
    <n v="0.01"/>
    <s v="Morning"/>
  </r>
  <r>
    <x v="4"/>
    <x v="14"/>
    <s v="Mathura"/>
    <s v="Barsana Mandir"/>
    <x v="2"/>
    <s v="Unknown"/>
    <x v="4"/>
    <n v="4.8"/>
    <n v="0"/>
    <s v="Yes"/>
    <s v="None"/>
    <s v="Religious"/>
    <s v="Yes"/>
    <n v="0.1"/>
    <s v="Morning"/>
  </r>
  <r>
    <x v="3"/>
    <x v="4"/>
    <s v="Darjeeling"/>
    <s v="Tiger Hill"/>
    <x v="63"/>
    <s v="Unknown"/>
    <x v="4"/>
    <n v="4.5"/>
    <n v="0"/>
    <s v="No"/>
    <s v="None"/>
    <s v="Nature"/>
    <s v="Yes"/>
    <n v="2.5000000000000001E-2"/>
    <s v="All"/>
  </r>
  <r>
    <x v="3"/>
    <x v="4"/>
    <s v="Siliguri"/>
    <s v="Jaldapara National Park"/>
    <x v="34"/>
    <n v="1941"/>
    <x v="3"/>
    <n v="4.4000000000000004"/>
    <n v="250"/>
    <s v="Yes"/>
    <s v="None"/>
    <s v="Wildlife"/>
    <s v="Yes"/>
    <n v="3.5000000000000003E-2"/>
    <s v="All"/>
  </r>
  <r>
    <x v="3"/>
    <x v="4"/>
    <s v="Sundarbans"/>
    <s v="Sundarbans National Park"/>
    <x v="14"/>
    <n v="1984"/>
    <x v="5"/>
    <n v="4.4000000000000004"/>
    <n v="60"/>
    <s v="No"/>
    <s v="None"/>
    <s v="Wildlife"/>
    <s v="Yes"/>
    <n v="6.5000000000000002E-2"/>
    <s v="All"/>
  </r>
  <r>
    <x v="3"/>
    <x v="4"/>
    <s v="Digha"/>
    <s v="Digha Beach"/>
    <x v="16"/>
    <s v="Unknown"/>
    <x v="6"/>
    <n v="4.5"/>
    <n v="0"/>
    <s v="No"/>
    <s v="None"/>
    <s v="Recreational"/>
    <s v="Yes"/>
    <n v="0.09"/>
    <s v="Morning"/>
  </r>
  <r>
    <x v="3"/>
    <x v="4"/>
    <s v="Murshidabad"/>
    <s v="Hazarduari Palace"/>
    <x v="18"/>
    <n v="1837"/>
    <x v="6"/>
    <n v="4.5"/>
    <n v="10"/>
    <s v="Yes"/>
    <s v="Friday"/>
    <s v="Historical"/>
    <s v="Yes"/>
    <n v="0.18"/>
    <s v="Morning"/>
  </r>
  <r>
    <x v="3"/>
    <x v="4"/>
    <s v="Bolpur"/>
    <s v="Kankalitala Temple"/>
    <x v="2"/>
    <s v="Unknown"/>
    <x v="0"/>
    <n v="4.7"/>
    <n v="0"/>
    <s v="Yes"/>
    <s v="None"/>
    <s v="Religious"/>
    <s v="No"/>
    <n v="4.4999999999999998E-2"/>
    <s v="All"/>
  </r>
  <r>
    <x v="3"/>
    <x v="4"/>
    <s v="Hooghly"/>
    <s v="Hangseswari Temple"/>
    <x v="2"/>
    <n v="1814"/>
    <x v="0"/>
    <n v="4.5999999999999996"/>
    <n v="0"/>
    <s v="Yes"/>
    <s v="None"/>
    <s v="Architectural"/>
    <s v="No"/>
    <n v="7.0000000000000007E-2"/>
    <s v="All"/>
  </r>
  <r>
    <x v="3"/>
    <x v="4"/>
    <s v="Jalpaiguri"/>
    <s v="Gorumara National Park"/>
    <x v="14"/>
    <n v="1949"/>
    <x v="3"/>
    <n v="4.4000000000000004"/>
    <n v="100"/>
    <s v="Yes"/>
    <s v="None"/>
    <s v="Wildlife"/>
    <s v="Yes"/>
    <n v="7.0000000000000007E-2"/>
    <s v="All"/>
  </r>
  <r>
    <x v="3"/>
    <x v="4"/>
    <s v="Cooch Behar"/>
    <s v="Cooch Behar Palace"/>
    <x v="18"/>
    <n v="1887"/>
    <x v="4"/>
    <n v="4.5"/>
    <n v="20"/>
    <s v="Yes"/>
    <s v="Friday"/>
    <s v="Historical"/>
    <s v="Yes"/>
    <n v="0.09"/>
    <s v="All"/>
  </r>
  <r>
    <x v="3"/>
    <x v="4"/>
    <s v="Purulia"/>
    <s v="Ayodhya Hills"/>
    <x v="60"/>
    <s v="Unknown"/>
    <x v="7"/>
    <n v="4.5"/>
    <n v="0"/>
    <s v="No"/>
    <s v="None"/>
    <s v="Nature"/>
    <s v="Yes"/>
    <n v="0.15"/>
    <s v="All"/>
  </r>
  <r>
    <x v="3"/>
    <x v="17"/>
    <s v="Puri"/>
    <s v="Jagannath Temple"/>
    <x v="2"/>
    <s v="12th century"/>
    <x v="1"/>
    <n v="4.7"/>
    <n v="0"/>
    <s v="Yes"/>
    <s v="None"/>
    <s v="Religious"/>
    <s v="No"/>
    <n v="1"/>
    <s v="All"/>
  </r>
  <r>
    <x v="3"/>
    <x v="17"/>
    <s v="Konark"/>
    <s v="Sun Temple"/>
    <x v="2"/>
    <n v="1250"/>
    <x v="6"/>
    <n v="4.7"/>
    <n v="40"/>
    <s v="Yes"/>
    <s v="None"/>
    <s v="Historical"/>
    <s v="Yes"/>
    <n v="0.83"/>
    <s v="All"/>
  </r>
  <r>
    <x v="3"/>
    <x v="17"/>
    <s v="Bhubaneswar"/>
    <s v="Lingaraj Temple"/>
    <x v="2"/>
    <s v="11th century"/>
    <x v="4"/>
    <n v="4.5999999999999996"/>
    <n v="0"/>
    <s v="Yes"/>
    <s v="None"/>
    <s v="Religious"/>
    <s v="No"/>
    <n v="0.35"/>
    <s v="All"/>
  </r>
  <r>
    <x v="3"/>
    <x v="17"/>
    <s v="Rourkela"/>
    <s v="Khandadhar Waterfall"/>
    <x v="29"/>
    <s v="Unknown"/>
    <x v="6"/>
    <n v="4.5"/>
    <n v="0"/>
    <s v="No"/>
    <s v="None"/>
    <s v="Nature"/>
    <s v="Yes"/>
    <n v="1.2"/>
    <s v="All"/>
  </r>
  <r>
    <x v="3"/>
    <x v="17"/>
    <s v="Cuttack"/>
    <s v="Barabati Fort"/>
    <x v="6"/>
    <n v="-987"/>
    <x v="4"/>
    <n v="4.5"/>
    <n v="0"/>
    <s v="Yes"/>
    <s v="None"/>
    <s v="Historical"/>
    <s v="Yes"/>
    <n v="0.13"/>
    <s v="All"/>
  </r>
  <r>
    <x v="3"/>
    <x v="17"/>
    <s v="Sambalpur"/>
    <s v="Hirakud Dam"/>
    <x v="64"/>
    <n v="1957"/>
    <x v="4"/>
    <n v="4.5"/>
    <n v="0"/>
    <s v="No"/>
    <s v="None"/>
    <s v="Engineering Marvel"/>
    <s v="Yes"/>
    <n v="0.01"/>
    <s v="All"/>
  </r>
  <r>
    <x v="3"/>
    <x v="17"/>
    <s v="Chilika"/>
    <s v="Chilika Lake"/>
    <x v="22"/>
    <s v="Unknown"/>
    <x v="1"/>
    <n v="3.9"/>
    <n v="0"/>
    <s v="Yes"/>
    <s v="None"/>
    <s v="Nature"/>
    <s v="Yes"/>
    <n v="0.1"/>
    <s v="Morning"/>
  </r>
  <r>
    <x v="3"/>
    <x v="17"/>
    <s v="Berhampur"/>
    <s v="Tara Tarini Temple"/>
    <x v="2"/>
    <s v="Ancient"/>
    <x v="4"/>
    <n v="4.5999999999999996"/>
    <n v="0"/>
    <s v="Yes"/>
    <s v="None"/>
    <s v="Religious"/>
    <s v="No"/>
    <n v="0.01"/>
    <s v="All"/>
  </r>
  <r>
    <x v="3"/>
    <x v="17"/>
    <s v="Keonjhar"/>
    <s v="Badaghagara Waterfall"/>
    <x v="29"/>
    <s v="Unknown"/>
    <x v="4"/>
    <n v="4.3"/>
    <n v="0"/>
    <s v="No"/>
    <s v="None"/>
    <s v="Nature"/>
    <s v="Yes"/>
    <n v="1.7999999999999999E-2"/>
    <s v="Morning"/>
  </r>
  <r>
    <x v="3"/>
    <x v="17"/>
    <s v="Balasore"/>
    <s v="Chandipur Beach"/>
    <x v="16"/>
    <s v="Unknown"/>
    <x v="6"/>
    <n v="4.2"/>
    <n v="0"/>
    <s v="Yes"/>
    <s v="None"/>
    <s v="Recreational"/>
    <s v="Yes"/>
    <n v="1.4E-2"/>
    <s v="Morning"/>
  </r>
  <r>
    <x v="3"/>
    <x v="17"/>
    <s v="Kendujhar"/>
    <s v="Sanaghagara Waterfall"/>
    <x v="29"/>
    <s v="Unknown"/>
    <x v="4"/>
    <n v="4.4000000000000004"/>
    <n v="0"/>
    <s v="No"/>
    <s v="None"/>
    <s v="Nature"/>
    <s v="Yes"/>
    <n v="5.5E-2"/>
    <s v="All"/>
  </r>
  <r>
    <x v="2"/>
    <x v="18"/>
    <s v="Chennai"/>
    <s v="Marina Beach"/>
    <x v="16"/>
    <s v="Unknown"/>
    <x v="6"/>
    <n v="3.9"/>
    <n v="0"/>
    <s v="Yes"/>
    <s v="None"/>
    <s v="Recreational"/>
    <s v="Yes"/>
    <n v="0.1"/>
    <s v="Morning"/>
  </r>
  <r>
    <x v="2"/>
    <x v="18"/>
    <s v="Madurai"/>
    <s v="Meenakshi Amman Temple"/>
    <x v="2"/>
    <s v="6th century AD"/>
    <x v="1"/>
    <n v="4.7"/>
    <n v="0"/>
    <s v="Yes"/>
    <s v="None"/>
    <s v="Religious"/>
    <s v="No"/>
    <n v="0.65"/>
    <s v="All"/>
  </r>
  <r>
    <x v="2"/>
    <x v="18"/>
    <s v="Rameswaram"/>
    <s v="Ramanathaswamy Temple"/>
    <x v="2"/>
    <s v="12th century"/>
    <x v="6"/>
    <n v="4.5999999999999996"/>
    <n v="0"/>
    <s v="No"/>
    <s v="None"/>
    <s v="Religious"/>
    <s v="No"/>
    <n v="0.01"/>
    <s v="All"/>
  </r>
  <r>
    <x v="2"/>
    <x v="18"/>
    <s v="Kanyakumari"/>
    <s v="Vivekananda Rock Memorial"/>
    <x v="37"/>
    <n v="1970"/>
    <x v="4"/>
    <n v="4.5999999999999996"/>
    <n v="20"/>
    <s v="Yes"/>
    <s v="None"/>
    <s v="Historical"/>
    <s v="No"/>
    <n v="0.47"/>
    <s v="Morning"/>
  </r>
  <r>
    <x v="2"/>
    <x v="18"/>
    <s v="Ooty"/>
    <s v="Ooty Lake"/>
    <x v="22"/>
    <n v="1824"/>
    <x v="4"/>
    <n v="4.0999999999999996"/>
    <n v="10"/>
    <s v="Yes"/>
    <s v="None"/>
    <s v="Recreational"/>
    <s v="Yes"/>
    <n v="0.61"/>
    <s v="Morning"/>
  </r>
  <r>
    <x v="2"/>
    <x v="18"/>
    <s v="Coimbatore"/>
    <s v="Marudamalai Temple"/>
    <x v="2"/>
    <s v="12th century"/>
    <x v="4"/>
    <n v="4.7"/>
    <n v="0"/>
    <s v="Yes"/>
    <s v="None"/>
    <s v="Religious"/>
    <s v="No"/>
    <n v="0.3"/>
    <s v="All"/>
  </r>
  <r>
    <x v="2"/>
    <x v="18"/>
    <s v="Kodaikanal"/>
    <s v="Kodaikanal Lake"/>
    <x v="22"/>
    <n v="1863"/>
    <x v="1"/>
    <n v="3.9"/>
    <n v="0"/>
    <s v="No"/>
    <s v="None"/>
    <s v="Recreational"/>
    <s v="Yes"/>
    <n v="0.1"/>
    <s v="Morning"/>
  </r>
  <r>
    <x v="2"/>
    <x v="18"/>
    <s v="Thanjavur"/>
    <s v="Brihadeeswarar Temple"/>
    <x v="2"/>
    <n v="110"/>
    <x v="6"/>
    <n v="4.8"/>
    <n v="0"/>
    <s v="Yes"/>
    <s v="None"/>
    <s v="Religious"/>
    <s v="No"/>
    <n v="0.35"/>
    <s v="All"/>
  </r>
  <r>
    <x v="2"/>
    <x v="18"/>
    <s v="Mahabalipuram"/>
    <s v="Shore Temple"/>
    <x v="2"/>
    <s v="7th century"/>
    <x v="4"/>
    <n v="4.5999999999999996"/>
    <n v="40"/>
    <s v="Yes"/>
    <s v="None"/>
    <s v="Historical"/>
    <s v="No"/>
    <n v="0.09"/>
    <s v="All"/>
  </r>
  <r>
    <x v="2"/>
    <x v="18"/>
    <s v="Yercaud"/>
    <s v="Yercaud Lake"/>
    <x v="22"/>
    <s v="Unknown"/>
    <x v="4"/>
    <n v="4.2"/>
    <n v="0"/>
    <s v="No"/>
    <s v="None"/>
    <s v="Recreational"/>
    <s v="Yes"/>
    <n v="1.9E-2"/>
    <s v="Morning"/>
  </r>
  <r>
    <x v="2"/>
    <x v="18"/>
    <s v="Tirunelveli"/>
    <s v="Nellaiappar Temple"/>
    <x v="2"/>
    <s v="7th century"/>
    <x v="4"/>
    <n v="4.5999999999999996"/>
    <n v="0"/>
    <s v="Yes"/>
    <s v="None"/>
    <s v="Religious"/>
    <s v="No"/>
    <n v="0.16"/>
    <s v="All"/>
  </r>
  <r>
    <x v="2"/>
    <x v="18"/>
    <s v="Chidambaram"/>
    <s v="Nataraja Temple"/>
    <x v="2"/>
    <s v="10th century"/>
    <x v="4"/>
    <n v="4.7"/>
    <n v="0"/>
    <s v="Yes"/>
    <s v="None"/>
    <s v="Religious"/>
    <s v="No"/>
    <n v="0.28000000000000003"/>
    <s v="All"/>
  </r>
  <r>
    <x v="2"/>
    <x v="19"/>
    <s v="Vijayawada"/>
    <s v="Kanaka Durga Temple"/>
    <x v="2"/>
    <s v="Unknown"/>
    <x v="4"/>
    <n v="4.7"/>
    <n v="0"/>
    <s v="Yes"/>
    <s v="None"/>
    <s v="Religious"/>
    <s v="No"/>
    <n v="0.44"/>
    <s v="All"/>
  </r>
  <r>
    <x v="2"/>
    <x v="19"/>
    <s v="Visakhapatnam"/>
    <s v="Rishikonda Beach"/>
    <x v="16"/>
    <s v="Unknown"/>
    <x v="6"/>
    <n v="4.5"/>
    <n v="0"/>
    <s v="Yes"/>
    <s v="None"/>
    <s v="Recreational"/>
    <s v="Yes"/>
    <n v="0.39"/>
    <s v="Morning"/>
  </r>
  <r>
    <x v="2"/>
    <x v="19"/>
    <s v="Srisailam"/>
    <s v="Mallikarjuna Swamy Temple"/>
    <x v="2"/>
    <s v="14th century"/>
    <x v="4"/>
    <n v="4.7"/>
    <n v="0"/>
    <s v="No"/>
    <s v="None"/>
    <s v="Religious"/>
    <s v="No"/>
    <n v="0.49"/>
    <s v="All"/>
  </r>
  <r>
    <x v="2"/>
    <x v="19"/>
    <s v="Rajahmundry"/>
    <s v="Papikondalu"/>
    <x v="60"/>
    <s v="Unknown"/>
    <x v="1"/>
    <n v="4.3"/>
    <n v="0"/>
    <s v="Yes"/>
    <s v="None"/>
    <s v="Nature"/>
    <s v="Yes"/>
    <n v="3.2000000000000001E-2"/>
    <s v="All"/>
  </r>
  <r>
    <x v="2"/>
    <x v="19"/>
    <s v="Anantapur"/>
    <s v="Lepakshi"/>
    <x v="27"/>
    <s v="16th century"/>
    <x v="6"/>
    <n v="4.5999999999999996"/>
    <n v="0"/>
    <s v="No"/>
    <s v="None"/>
    <s v="Historical"/>
    <s v="Yes"/>
    <n v="7.4999999999999997E-2"/>
    <s v="All"/>
  </r>
  <r>
    <x v="2"/>
    <x v="19"/>
    <s v="Kurnool"/>
    <s v="Belum Caves"/>
    <x v="43"/>
    <s v="Unknown"/>
    <x v="6"/>
    <n v="4.4000000000000004"/>
    <n v="65"/>
    <s v="Yes"/>
    <s v="None"/>
    <s v="Natural Wonder"/>
    <s v="Yes"/>
    <n v="0.11"/>
    <s v="Afternoon"/>
  </r>
  <r>
    <x v="2"/>
    <x v="19"/>
    <s v="Amravati"/>
    <s v="Amaravathi Temple"/>
    <x v="2"/>
    <s v="Unknown"/>
    <x v="4"/>
    <n v="4.7"/>
    <n v="0"/>
    <s v="Yes"/>
    <s v="None"/>
    <s v="Religious"/>
    <s v="No"/>
    <n v="4.1000000000000002E-2"/>
    <s v="All"/>
  </r>
  <r>
    <x v="2"/>
    <x v="19"/>
    <s v="Guntur"/>
    <s v="Uppalapadu Bird Sanctuary"/>
    <x v="30"/>
    <s v="Unknown"/>
    <x v="4"/>
    <n v="4.4000000000000004"/>
    <n v="10"/>
    <s v="Yes"/>
    <s v="None"/>
    <s v="Wildlife"/>
    <s v="Yes"/>
    <n v="0.7"/>
    <s v="All"/>
  </r>
  <r>
    <x v="2"/>
    <x v="19"/>
    <s v="Kadapa"/>
    <s v="Gandikota Fort"/>
    <x v="6"/>
    <s v="12th century"/>
    <x v="6"/>
    <n v="4.5"/>
    <n v="0"/>
    <s v="No"/>
    <s v="None"/>
    <s v="Historical"/>
    <s v="Yes"/>
    <n v="1.4999999999999999E-2"/>
    <s v="Morning"/>
  </r>
  <r>
    <x v="2"/>
    <x v="19"/>
    <s v="Puttaparthi"/>
    <s v="Prasanthi Nilayam"/>
    <x v="65"/>
    <n v="1950"/>
    <x v="4"/>
    <n v="4.7"/>
    <n v="0"/>
    <s v="Yes"/>
    <s v="None"/>
    <s v="Religious"/>
    <s v="Yes"/>
    <n v="0.12"/>
    <s v="All"/>
  </r>
  <r>
    <x v="2"/>
    <x v="19"/>
    <s v="Vizianagaram"/>
    <s v="Simhachalam Temple"/>
    <x v="2"/>
    <n v="198"/>
    <x v="4"/>
    <n v="4.7"/>
    <n v="0"/>
    <s v="Yes"/>
    <s v="None"/>
    <s v="Religious"/>
    <s v="No"/>
    <n v="0.59"/>
    <s v="All"/>
  </r>
  <r>
    <x v="2"/>
    <x v="19"/>
    <s v="Visakhapatnam"/>
    <s v="Kailasagiri"/>
    <x v="60"/>
    <s v="Unknown"/>
    <x v="1"/>
    <n v="4.5"/>
    <n v="0"/>
    <s v="Yes"/>
    <s v="None"/>
    <s v="Recreational"/>
    <s v="Yes"/>
    <n v="1.9E-2"/>
    <s v="All"/>
  </r>
  <r>
    <x v="2"/>
    <x v="19"/>
    <s v="Visakhapatnam"/>
    <s v="Submarine Museum"/>
    <x v="9"/>
    <n v="22"/>
    <x v="4"/>
    <n v="4.5999999999999996"/>
    <n v="40"/>
    <s v="Yes"/>
    <s v="None"/>
    <s v="Historical"/>
    <s v="Yes"/>
    <n v="0.49"/>
    <s v="All"/>
  </r>
  <r>
    <x v="2"/>
    <x v="19"/>
    <s v="Visakhapatnam"/>
    <s v="Borra Caves"/>
    <x v="43"/>
    <s v="Unknown"/>
    <x v="1"/>
    <n v="4.5"/>
    <n v="60"/>
    <s v="No"/>
    <s v="None"/>
    <s v="Natural Wonder"/>
    <s v="Yes"/>
    <n v="0.31"/>
    <s v="Afternoon"/>
  </r>
  <r>
    <x v="2"/>
    <x v="19"/>
    <s v="Visakhapatnam"/>
    <s v="War Memorial"/>
    <x v="0"/>
    <s v="Unknown"/>
    <x v="4"/>
    <n v="4.5999999999999996"/>
    <n v="0"/>
    <s v="Yes"/>
    <s v="None"/>
    <s v="Historical"/>
    <s v="Yes"/>
    <n v="5.8999999999999997E-2"/>
    <s v="All"/>
  </r>
  <r>
    <x v="2"/>
    <x v="19"/>
    <s v="Visakhapatnam"/>
    <s v="Indira Gandhi Zoological Park"/>
    <x v="10"/>
    <n v="1977"/>
    <x v="1"/>
    <n v="4.0999999999999996"/>
    <n v="20"/>
    <s v="Yes"/>
    <s v="Monday"/>
    <s v="Wildlife"/>
    <s v="Yes"/>
    <n v="0.25"/>
    <s v="Afternoon"/>
  </r>
  <r>
    <x v="2"/>
    <x v="19"/>
    <s v="Visakhapatnam"/>
    <s v="Matsyadarshini Aquarium"/>
    <x v="66"/>
    <s v="Unknown"/>
    <x v="4"/>
    <n v="3.8"/>
    <n v="20"/>
    <s v="Yes"/>
    <s v="None"/>
    <s v="Recreational"/>
    <s v="Yes"/>
    <n v="0.03"/>
    <s v="All"/>
  </r>
  <r>
    <x v="2"/>
    <x v="19"/>
    <s v="Visakhapatnam"/>
    <s v="Visakha Museum"/>
    <x v="9"/>
    <n v="1991"/>
    <x v="4"/>
    <n v="4.3"/>
    <n v="10"/>
    <s v="Yes"/>
    <s v="None"/>
    <s v="Cultural"/>
    <s v="Yes"/>
    <n v="6.5000000000000002E-2"/>
    <s v="All"/>
  </r>
  <r>
    <x v="3"/>
    <x v="20"/>
    <s v="Gangtok"/>
    <s v="Nathula Pass"/>
    <x v="60"/>
    <s v="Unknown"/>
    <x v="1"/>
    <n v="4.3"/>
    <n v="20"/>
    <s v="Yes"/>
    <s v="None"/>
    <s v="Historical"/>
    <s v="Yes"/>
    <n v="0.15"/>
    <s v="Afternoon"/>
  </r>
  <r>
    <x v="3"/>
    <x v="20"/>
    <s v="Pelling"/>
    <s v="Pemayangtse Monastery"/>
    <x v="50"/>
    <n v="1705"/>
    <x v="4"/>
    <n v="4.5999999999999996"/>
    <n v="20"/>
    <s v="No"/>
    <s v="None"/>
    <s v="Religious"/>
    <s v="No"/>
    <n v="1.4999999999999999E-2"/>
    <s v="Morning"/>
  </r>
  <r>
    <x v="3"/>
    <x v="20"/>
    <s v="Namchi"/>
    <s v="Char Dham"/>
    <x v="67"/>
    <n v="211"/>
    <x v="1"/>
    <n v="4.7"/>
    <n v="50"/>
    <s v="Yes"/>
    <s v="None"/>
    <s v="Religious"/>
    <s v="No"/>
    <n v="0.12"/>
    <s v="All"/>
  </r>
  <r>
    <x v="3"/>
    <x v="20"/>
    <s v="Gangtok"/>
    <s v="Rumtek Monastery"/>
    <x v="50"/>
    <s v="1960s"/>
    <x v="4"/>
    <n v="4.5999999999999996"/>
    <n v="10"/>
    <s v="Yes"/>
    <s v="None"/>
    <s v="Religious"/>
    <s v="No"/>
    <n v="3.5000000000000003E-2"/>
    <s v="Morning"/>
  </r>
  <r>
    <x v="3"/>
    <x v="20"/>
    <s v="Ravangla"/>
    <s v="Buddha Park"/>
    <x v="8"/>
    <n v="213"/>
    <x v="4"/>
    <n v="4.8"/>
    <n v="50"/>
    <s v="Yes"/>
    <s v="None"/>
    <s v="Cultural"/>
    <s v="Yes"/>
    <n v="0.1"/>
    <s v="All"/>
  </r>
  <r>
    <x v="3"/>
    <x v="20"/>
    <s v="Gangtok"/>
    <s v="Baba Harbhajan Singh Temple"/>
    <x v="2"/>
    <n v="1967"/>
    <x v="4"/>
    <n v="4.7"/>
    <n v="0"/>
    <s v="Yes"/>
    <s v="None"/>
    <s v="Religious"/>
    <s v="No"/>
    <n v="7.4999999999999997E-2"/>
    <s v="All"/>
  </r>
  <r>
    <x v="3"/>
    <x v="20"/>
    <s v="Gangtok"/>
    <s v="Tsomgo Lake"/>
    <x v="22"/>
    <s v="Unknown"/>
    <x v="1"/>
    <n v="4.5"/>
    <n v="0"/>
    <s v="Yes"/>
    <s v="None"/>
    <s v="Nature"/>
    <s v="Yes"/>
    <n v="0.15"/>
    <s v="Morning"/>
  </r>
  <r>
    <x v="5"/>
    <x v="21"/>
    <s v="Guwahati"/>
    <s v="Kamakhya Temple"/>
    <x v="2"/>
    <s v="Unknown"/>
    <x v="1"/>
    <n v="4.5999999999999996"/>
    <n v="0"/>
    <s v="Yes"/>
    <s v="None"/>
    <s v="Religious"/>
    <s v="No"/>
    <n v="0.21"/>
    <s v="All"/>
  </r>
  <r>
    <x v="5"/>
    <x v="21"/>
    <s v="Kaziranga"/>
    <s v="Kaziranga National Park"/>
    <x v="14"/>
    <n v="1905"/>
    <x v="3"/>
    <n v="4.5"/>
    <n v="650"/>
    <s v="No"/>
    <s v="None"/>
    <s v="Wildlife"/>
    <s v="No"/>
    <n v="6.8000000000000005E-2"/>
    <s v="Morning"/>
  </r>
  <r>
    <x v="5"/>
    <x v="21"/>
    <s v="Guwahati"/>
    <s v="Umananda Island"/>
    <x v="68"/>
    <s v="Unknown"/>
    <x v="4"/>
    <n v="4.0999999999999996"/>
    <n v="0"/>
    <s v="Yes"/>
    <s v="None"/>
    <s v="Nature"/>
    <s v="Yes"/>
    <n v="0.01"/>
    <s v="Morning"/>
  </r>
  <r>
    <x v="5"/>
    <x v="21"/>
    <s v="Sivasagar"/>
    <s v="Sivasagar Sivadol"/>
    <x v="2"/>
    <n v="1734"/>
    <x v="4"/>
    <n v="4.7"/>
    <n v="0"/>
    <s v="No"/>
    <s v="None"/>
    <s v="Historical"/>
    <s v="Yes"/>
    <n v="6.5000000000000002E-2"/>
    <s v="All"/>
  </r>
  <r>
    <x v="5"/>
    <x v="21"/>
    <s v="Majuli"/>
    <s v="Majuli Island"/>
    <x v="69"/>
    <s v="Unknown"/>
    <x v="1"/>
    <n v="4.7"/>
    <n v="0"/>
    <s v="No"/>
    <s v="None"/>
    <s v="Cultural"/>
    <s v="Yes"/>
    <n v="0.01"/>
    <s v="Morning"/>
  </r>
  <r>
    <x v="5"/>
    <x v="21"/>
    <s v="Manas"/>
    <s v="Manas National Park"/>
    <x v="14"/>
    <n v="1990"/>
    <x v="3"/>
    <n v="4.5999999999999996"/>
    <n v="500"/>
    <s v="No"/>
    <s v="None"/>
    <s v="Wildlife"/>
    <s v="Yes"/>
    <n v="0.19"/>
    <s v="Morning"/>
  </r>
  <r>
    <x v="5"/>
    <x v="21"/>
    <s v="Hajo"/>
    <s v="Hayagriva Madhava Temple"/>
    <x v="2"/>
    <s v="Unknown"/>
    <x v="4"/>
    <n v="4.5"/>
    <n v="0"/>
    <s v="No"/>
    <s v="None"/>
    <s v="Religious"/>
    <s v="Yes"/>
    <n v="0.9"/>
    <s v="All"/>
  </r>
  <r>
    <x v="5"/>
    <x v="21"/>
    <s v="Guwahati"/>
    <s v="Pobitora Wildlife Sanctuary"/>
    <x v="34"/>
    <n v="1987"/>
    <x v="1"/>
    <n v="4.4000000000000004"/>
    <n v="500"/>
    <s v="Yes"/>
    <s v="None"/>
    <s v="Wildlife"/>
    <s v="Yes"/>
    <n v="3.6999999999999998E-2"/>
    <s v="All"/>
  </r>
  <r>
    <x v="5"/>
    <x v="22"/>
    <s v="Tawang"/>
    <s v="Tawang Monastery"/>
    <x v="50"/>
    <n v="1680"/>
    <x v="1"/>
    <n v="4.7"/>
    <n v="0"/>
    <s v="No"/>
    <s v="None"/>
    <s v="Religious"/>
    <s v="No"/>
    <n v="3.2000000000000001E-2"/>
    <s v="Morning"/>
  </r>
  <r>
    <x v="5"/>
    <x v="23"/>
    <s v="Agartala"/>
    <s v="Ujjayanta Palace"/>
    <x v="18"/>
    <n v="1901"/>
    <x v="6"/>
    <n v="4.5"/>
    <n v="10"/>
    <s v="Yes"/>
    <s v="Monday"/>
    <s v="Historical"/>
    <s v="Yes"/>
    <n v="3.5000000000000003E-2"/>
    <s v="All"/>
  </r>
  <r>
    <x v="5"/>
    <x v="23"/>
    <s v="Dumboor"/>
    <s v="Dumboor Lake"/>
    <x v="22"/>
    <s v="Unknown"/>
    <x v="4"/>
    <n v="4.5"/>
    <n v="0"/>
    <s v="No"/>
    <s v="None"/>
    <s v="Nature"/>
    <s v="Yes"/>
    <n v="0.01"/>
    <s v="Morning"/>
  </r>
  <r>
    <x v="5"/>
    <x v="23"/>
    <s v="Unakoti"/>
    <s v="Unakoti Rock Carvings"/>
    <x v="70"/>
    <n v="700"/>
    <x v="6"/>
    <n v="4.5"/>
    <n v="20"/>
    <s v="No"/>
    <s v="None"/>
    <s v="Historical"/>
    <s v="Yes"/>
    <n v="2.5000000000000001E-2"/>
    <s v="Morning"/>
  </r>
  <r>
    <x v="4"/>
    <x v="24"/>
    <s v="Bastar"/>
    <s v="Chitrakote Falls"/>
    <x v="29"/>
    <s v="Unknown"/>
    <x v="6"/>
    <n v="4.5999999999999996"/>
    <n v="0"/>
    <s v="No"/>
    <s v="None"/>
    <s v="Nature"/>
    <s v="Yes"/>
    <n v="0.19"/>
    <s v="Morning"/>
  </r>
  <r>
    <x v="5"/>
    <x v="25"/>
    <s v="DzÃ¼kou Valley"/>
    <s v="DzÃ¼kou Valley"/>
    <x v="46"/>
    <s v="Unknown"/>
    <x v="3"/>
    <n v="4.7"/>
    <n v="0"/>
    <s v="No"/>
    <s v="None"/>
    <s v="Trekking"/>
    <s v="Yes"/>
    <n v="0.01"/>
    <s v="Afternoon"/>
  </r>
  <r>
    <x v="2"/>
    <x v="26"/>
    <s v="Puducherry"/>
    <s v="Promenade Beach"/>
    <x v="16"/>
    <s v="Unknown"/>
    <x v="4"/>
    <n v="4.5"/>
    <n v="0"/>
    <s v="Yes"/>
    <s v="None"/>
    <s v="Recreational"/>
    <s v="Yes"/>
    <n v="0.09"/>
    <s v="Morning"/>
  </r>
  <r>
    <x v="2"/>
    <x v="26"/>
    <s v="Auroville"/>
    <s v="Auroville"/>
    <x v="71"/>
    <n v="1968"/>
    <x v="1"/>
    <n v="4.0999999999999996"/>
    <n v="0"/>
    <s v="Yes"/>
    <s v="None"/>
    <s v="Cultural"/>
    <s v="Yes"/>
    <n v="3.5000000000000003E-2"/>
    <s v="All"/>
  </r>
  <r>
    <x v="2"/>
    <x v="26"/>
    <s v="Puducherry"/>
    <s v="Paradise Beach"/>
    <x v="16"/>
    <s v="Unknown"/>
    <x v="4"/>
    <n v="4.5"/>
    <n v="200"/>
    <s v="Yes"/>
    <s v="None"/>
    <s v="Recreational"/>
    <s v="Yes"/>
    <n v="1.4999999999999999E-2"/>
    <s v="Morning"/>
  </r>
  <r>
    <x v="2"/>
    <x v="27"/>
    <s v="Port Blair"/>
    <s v="Cellular Jail"/>
    <x v="21"/>
    <n v="1906"/>
    <x v="6"/>
    <n v="4.7"/>
    <n v="30"/>
    <s v="Yes"/>
    <s v="Monday"/>
    <s v="Historical"/>
    <s v="Yes"/>
    <n v="0.12"/>
    <s v="Afternoon"/>
  </r>
  <r>
    <x v="2"/>
    <x v="27"/>
    <s v="Havelock Island"/>
    <s v="Radhanagar Beach"/>
    <x v="16"/>
    <s v="Unknown"/>
    <x v="4"/>
    <n v="4.8"/>
    <n v="0"/>
    <s v="No"/>
    <s v="None"/>
    <s v="Nature"/>
    <s v="Yes"/>
    <n v="0.09"/>
    <s v="Morning"/>
  </r>
  <r>
    <x v="2"/>
    <x v="27"/>
    <s v="Neil Island"/>
    <s v="Bharatpur Beach"/>
    <x v="16"/>
    <s v="Unknown"/>
    <x v="4"/>
    <n v="4.5"/>
    <n v="0"/>
    <s v="No"/>
    <s v="None"/>
    <s v="Nature"/>
    <s v="Yes"/>
    <n v="0.04"/>
    <s v="Morning"/>
  </r>
  <r>
    <x v="2"/>
    <x v="27"/>
    <s v="Baratang Island"/>
    <s v="Limestone Caves"/>
    <x v="72"/>
    <s v="Unknown"/>
    <x v="6"/>
    <n v="4.4000000000000004"/>
    <n v="250"/>
    <s v="No"/>
    <s v="None"/>
    <s v="Nature"/>
    <s v="Yes"/>
    <n v="1.4999999999999999E-2"/>
    <s v="Morning"/>
  </r>
  <r>
    <x v="1"/>
    <x v="28"/>
    <s v="Diu"/>
    <s v="Naida Caves"/>
    <x v="43"/>
    <s v="Unknown"/>
    <x v="4"/>
    <n v="4.5"/>
    <n v="0"/>
    <s v="No"/>
    <s v="None"/>
    <s v="Nature"/>
    <s v="Yes"/>
    <n v="0.6"/>
    <s v="Afternoon"/>
  </r>
  <r>
    <x v="1"/>
    <x v="28"/>
    <s v="Diu"/>
    <s v="Diu Fort"/>
    <x v="6"/>
    <n v="1535"/>
    <x v="6"/>
    <n v="4.5999999999999996"/>
    <n v="0"/>
    <s v="No"/>
    <s v="None"/>
    <s v="Historical"/>
    <s v="Yes"/>
    <n v="1.2"/>
    <s v="Afternoon"/>
  </r>
  <r>
    <x v="3"/>
    <x v="29"/>
    <s v="Deoghar"/>
    <s v="Baba Baidyanath Temple"/>
    <x v="2"/>
    <s v="Unknown"/>
    <x v="4"/>
    <n v="4.7"/>
    <n v="0"/>
    <s v="Yes"/>
    <s v="None"/>
    <s v="Religious"/>
    <s v="Yes"/>
    <n v="1.8"/>
    <s v="All"/>
  </r>
  <r>
    <x v="3"/>
    <x v="29"/>
    <s v="Ranchi"/>
    <s v="Pahari Mandir"/>
    <x v="2"/>
    <s v="Unknown"/>
    <x v="4"/>
    <n v="4.5999999999999996"/>
    <n v="0"/>
    <s v="Yes"/>
    <s v="None"/>
    <s v="Religious"/>
    <s v="Yes"/>
    <n v="0.13"/>
    <s v="All"/>
  </r>
  <r>
    <x v="3"/>
    <x v="30"/>
    <s v="Bodh Gaya"/>
    <s v="Mahabodhi Temple"/>
    <x v="2"/>
    <n v="-260"/>
    <x v="6"/>
    <n v="4.7"/>
    <n v="0"/>
    <s v="Yes"/>
    <s v="None"/>
    <s v="Religious"/>
    <s v="Yes"/>
    <n v="0.2"/>
    <s v="All"/>
  </r>
  <r>
    <x v="3"/>
    <x v="30"/>
    <s v="Patna"/>
    <s v="Sanjay Gandhi Biological Park"/>
    <x v="10"/>
    <s v="Unknown"/>
    <x v="7"/>
    <n v="4.3"/>
    <n v="30"/>
    <s v="Yes"/>
    <s v="None"/>
    <s v="Wildlife"/>
    <s v="Yes"/>
    <n v="0.5"/>
    <s v="All"/>
  </r>
  <r>
    <x v="3"/>
    <x v="30"/>
    <s v="Patna"/>
    <s v="Takhat Shri Harimandir Ji Patna Sahib"/>
    <x v="54"/>
    <s v="Unknown"/>
    <x v="4"/>
    <n v="4.7"/>
    <n v="0"/>
    <s v="Yes"/>
    <s v="None"/>
    <s v="Religious"/>
    <s v="Yes"/>
    <n v="0.25"/>
    <s v="All"/>
  </r>
  <r>
    <x v="3"/>
    <x v="30"/>
    <s v="Patna"/>
    <s v="Budhha Smriti Park"/>
    <x v="8"/>
    <s v="Unknown"/>
    <x v="4"/>
    <n v="4.4000000000000004"/>
    <n v="10"/>
    <s v="Yes"/>
    <s v="None"/>
    <s v="Cultural"/>
    <s v="Yes"/>
    <n v="0.31"/>
    <s v="All"/>
  </r>
  <r>
    <x v="0"/>
    <x v="31"/>
    <s v="Gurugram"/>
    <s v="Kingdom of Dreams"/>
    <x v="73"/>
    <n v="2010"/>
    <x v="3"/>
    <n v="4.4000000000000004"/>
    <n v="1100"/>
    <s v="Yes"/>
    <s v="Monday"/>
    <s v="Entertainment"/>
    <s v="Yes"/>
    <n v="0.3"/>
    <s v="Afternoon"/>
  </r>
  <r>
    <x v="0"/>
    <x v="31"/>
    <s v="Gurugram"/>
    <s v="Ambience Mall"/>
    <x v="74"/>
    <s v="Unknown"/>
    <x v="1"/>
    <n v="4.5999999999999996"/>
    <n v="0"/>
    <s v="Yes"/>
    <s v="None"/>
    <s v="Shopping"/>
    <s v="Yes"/>
    <n v="1.2"/>
    <s v="Afternoon"/>
  </r>
  <r>
    <x v="0"/>
    <x v="31"/>
    <s v="Gurugram"/>
    <s v="DLF CyberHub"/>
    <x v="75"/>
    <s v="Unknown"/>
    <x v="1"/>
    <n v="4.7"/>
    <n v="0"/>
    <s v="Yes"/>
    <s v="None"/>
    <s v="Entertainment"/>
    <s v="Yes"/>
    <n v="0.71"/>
    <s v="Afternoon"/>
  </r>
  <r>
    <x v="0"/>
    <x v="0"/>
    <s v="New Delhi"/>
    <s v="Gurudwara Bangla Sahib"/>
    <x v="54"/>
    <s v="Unknown"/>
    <x v="4"/>
    <n v="4.8"/>
    <n v="0"/>
    <s v="Yes"/>
    <s v="None"/>
    <s v="Religious"/>
    <s v="Yes"/>
    <n v="1.05"/>
    <s v="All"/>
  </r>
  <r>
    <x v="0"/>
    <x v="13"/>
    <s v="Kedarnath"/>
    <s v="Kedarnath"/>
    <x v="2"/>
    <s v="Unknown"/>
    <x v="6"/>
    <n v="4.8"/>
    <n v="0"/>
    <s v="No"/>
    <s v="None"/>
    <s v="Religious"/>
    <s v="No"/>
    <n v="2"/>
    <s v="All"/>
  </r>
  <r>
    <x v="4"/>
    <x v="14"/>
    <s v="Noida"/>
    <s v="DLF Mall of India"/>
    <x v="74"/>
    <n v="2016"/>
    <x v="1"/>
    <n v="4.5999999999999996"/>
    <n v="0"/>
    <s v="Yes"/>
    <s v="None"/>
    <s v="Shopping"/>
    <s v="Yes"/>
    <n v="1.5"/>
    <s v="All"/>
  </r>
  <r>
    <x v="4"/>
    <x v="14"/>
    <s v="Greater Noida"/>
    <s v="The Grand Venice Mall"/>
    <x v="74"/>
    <s v="Unknown"/>
    <x v="1"/>
    <n v="4.2"/>
    <n v="0"/>
    <s v="Yes"/>
    <s v="None"/>
    <s v="Shopping"/>
    <s v="Yes"/>
    <n v="0.45"/>
    <s v="All"/>
  </r>
  <r>
    <x v="2"/>
    <x v="2"/>
    <s v="Bengaluru"/>
    <s v="Wonderla Amusement Park"/>
    <x v="17"/>
    <n v="2005"/>
    <x v="5"/>
    <n v="4.5"/>
    <n v="890"/>
    <s v="Yes"/>
    <s v="None"/>
    <s v="Entertainment"/>
    <s v="Yes"/>
    <n v="0.95"/>
    <s v="All"/>
  </r>
  <r>
    <x v="3"/>
    <x v="17"/>
    <s v="Bhubaneswar"/>
    <s v="Nandankanan Zoological Park"/>
    <x v="10"/>
    <n v="1960"/>
    <x v="3"/>
    <n v="4.4000000000000004"/>
    <n v="50"/>
    <s v="Yes"/>
    <s v="Monday"/>
    <s v="Wildlife"/>
    <s v="Yes"/>
    <n v="0.81"/>
    <s v="Afternoon"/>
  </r>
  <r>
    <x v="2"/>
    <x v="2"/>
    <s v="Bengaluru"/>
    <s v="Orion Mall"/>
    <x v="74"/>
    <n v="2012"/>
    <x v="1"/>
    <n v="4.5"/>
    <n v="0"/>
    <s v="Yes"/>
    <s v="None"/>
    <s v="Shopping"/>
    <s v="Yes"/>
    <n v="1.8"/>
    <s v="All"/>
  </r>
  <r>
    <x v="2"/>
    <x v="3"/>
    <s v="Hyderabad"/>
    <s v="Inorbit Mall Cyberabad"/>
    <x v="74"/>
    <n v="2004"/>
    <x v="1"/>
    <n v="4.5"/>
    <n v="0"/>
    <s v="Yes"/>
    <s v="None"/>
    <s v="Shopping"/>
    <s v="Yes"/>
    <n v="1.2"/>
    <s v="All"/>
  </r>
  <r>
    <x v="0"/>
    <x v="0"/>
    <s v="New Delhi"/>
    <s v="Jama Masjid"/>
    <x v="76"/>
    <n v="1656"/>
    <x v="4"/>
    <n v="4.5"/>
    <n v="0"/>
    <s v="Yes"/>
    <s v="None"/>
    <s v="Historical"/>
    <s v="Yes"/>
    <n v="0.49"/>
    <s v="All"/>
  </r>
  <r>
    <x v="2"/>
    <x v="18"/>
    <s v="Rameswaram"/>
    <s v="Ramanathaswamy Temple"/>
    <x v="2"/>
    <s v="Unknown"/>
    <x v="6"/>
    <n v="4.7"/>
    <n v="0"/>
    <s v="Yes"/>
    <s v="None"/>
    <s v="Religious"/>
    <s v="No"/>
    <n v="0.1"/>
    <s v="All"/>
  </r>
  <r>
    <x v="4"/>
    <x v="14"/>
    <s v="Greater Noida"/>
    <s v="Buddh International Circuit"/>
    <x v="77"/>
    <n v="2011"/>
    <x v="1"/>
    <n v="4.5999999999999996"/>
    <n v="1500"/>
    <s v="Yes"/>
    <s v="Sunday"/>
    <s v="Sports"/>
    <s v="Yes"/>
    <n v="7.4"/>
    <s v="All"/>
  </r>
  <r>
    <x v="4"/>
    <x v="14"/>
    <s v="Lucknow"/>
    <s v="Phoenix Palassio"/>
    <x v="74"/>
    <n v="2020"/>
    <x v="1"/>
    <n v="4.5999999999999996"/>
    <n v="0"/>
    <s v="Yes"/>
    <s v="None"/>
    <s v="Shopping"/>
    <s v="Yes"/>
    <n v="0.35"/>
    <s v="All"/>
  </r>
  <r>
    <x v="2"/>
    <x v="9"/>
    <s v="Kochi"/>
    <s v="LuLu International Shopping Mall"/>
    <x v="74"/>
    <n v="2013"/>
    <x v="3"/>
    <n v="4.5999999999999996"/>
    <n v="0"/>
    <s v="Yes"/>
    <s v="None"/>
    <s v="Shopping"/>
    <s v="Yes"/>
    <n v="1.9"/>
    <s v="All"/>
  </r>
  <r>
    <x v="0"/>
    <x v="0"/>
    <s v="New Delhi"/>
    <s v="Rail Museum"/>
    <x v="9"/>
    <n v="1977"/>
    <x v="1"/>
    <n v="4.4000000000000004"/>
    <n v="50"/>
    <s v="Yes"/>
    <s v="Monday"/>
    <s v="Cultural"/>
    <s v="Yes"/>
    <n v="0.24"/>
    <s v="Morning"/>
  </r>
  <r>
    <x v="5"/>
    <x v="32"/>
    <s v="Cherrapunji"/>
    <s v="Living Root Bridge"/>
    <x v="72"/>
    <s v="Unknown"/>
    <x v="1"/>
    <n v="4.5999999999999996"/>
    <n v="0"/>
    <s v="No"/>
    <s v="None"/>
    <s v="Nature"/>
    <s v="Yes"/>
    <n v="0.06"/>
    <s v="Morning"/>
  </r>
  <r>
    <x v="1"/>
    <x v="6"/>
    <s v="Gandhinagar"/>
    <s v="Akshardham"/>
    <x v="2"/>
    <n v="1992"/>
    <x v="3"/>
    <n v="4.5999999999999996"/>
    <n v="0"/>
    <s v="Yes"/>
    <s v="Monday"/>
    <s v="Religious"/>
    <s v="No"/>
    <n v="0.18"/>
    <s v="All"/>
  </r>
  <r>
    <x v="4"/>
    <x v="14"/>
    <s v="Agra"/>
    <s v="Agra Fort"/>
    <x v="6"/>
    <n v="1565"/>
    <x v="1"/>
    <n v="4.5"/>
    <n v="40"/>
    <s v="Yes"/>
    <s v="None"/>
    <s v="Historical"/>
    <s v="Yes"/>
    <n v="1.3"/>
    <s v="Afternoon"/>
  </r>
  <r>
    <x v="4"/>
    <x v="11"/>
    <s v="Bhopal"/>
    <s v="Madhya Pradesh Tribal Museum"/>
    <x v="9"/>
    <n v="2013"/>
    <x v="1"/>
    <n v="4.7"/>
    <n v="10"/>
    <s v="Yes"/>
    <s v="Monday"/>
    <s v="Cultural"/>
    <s v="Yes"/>
    <n v="0.15"/>
    <s v="All"/>
  </r>
  <r>
    <x v="0"/>
    <x v="7"/>
    <s v="Jaipur"/>
    <s v="City Palace"/>
    <x v="18"/>
    <n v="1727"/>
    <x v="1"/>
    <n v="4.4000000000000004"/>
    <n v="200"/>
    <s v="Yes"/>
    <s v="None"/>
    <s v="Historical"/>
    <s v="Yes"/>
    <n v="0.51"/>
    <s v="Morning"/>
  </r>
  <r>
    <x v="0"/>
    <x v="7"/>
    <s v="Jaipur"/>
    <s v="Albert Hall Museum"/>
    <x v="9"/>
    <n v="1887"/>
    <x v="1"/>
    <n v="4.5"/>
    <n v="200"/>
    <s v="Yes"/>
    <s v="None"/>
    <s v="Historical"/>
    <s v="Yes"/>
    <n v="0.63"/>
    <s v="A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724FE-3034-423A-B741-F1070EF767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10" firstHeaderRow="1" firstDataRow="1" firstDataCol="1"/>
  <pivotFields count="15">
    <pivotField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axis="axisRow" showAll="0" measureFilter="1">
      <items count="12">
        <item x="0"/>
        <item x="4"/>
        <item x="6"/>
        <item x="1"/>
        <item x="7"/>
        <item x="3"/>
        <item x="5"/>
        <item x="2"/>
        <item x="9"/>
        <item x="10"/>
        <item x="8"/>
        <item t="default"/>
      </items>
    </pivotField>
    <pivotField showAll="0"/>
    <pivotField showAll="0"/>
    <pivotField showAll="0"/>
    <pivotField showAll="0"/>
    <pivotField showAll="0"/>
    <pivotField showAll="0"/>
    <pivotField showAll="0"/>
    <pivotField showAll="0"/>
  </pivotFields>
  <rowFields count="1">
    <field x="6"/>
  </rowFields>
  <rowItems count="6">
    <i>
      <x v="1"/>
    </i>
    <i>
      <x v="2"/>
    </i>
    <i>
      <x v="3"/>
    </i>
    <i>
      <x v="5"/>
    </i>
    <i>
      <x v="7"/>
    </i>
    <i t="grand">
      <x/>
    </i>
  </rowItems>
  <colItems count="1">
    <i/>
  </colItems>
  <dataFields count="1">
    <dataField name="Count of Name" fld="3" subtotal="count" baseField="0" baseItem="0"/>
  </dataFields>
  <chartFormats count="7">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5" format="4">
      <pivotArea type="data" outline="0" fieldPosition="0">
        <references count="2">
          <reference field="4294967294" count="1" selected="0">
            <x v="0"/>
          </reference>
          <reference field="6" count="1" selected="0">
            <x v="3"/>
          </reference>
        </references>
      </pivotArea>
    </chartFormat>
    <chartFormat chart="5" format="5">
      <pivotArea type="data" outline="0" fieldPosition="0">
        <references count="2">
          <reference field="4294967294" count="1" selected="0">
            <x v="0"/>
          </reference>
          <reference field="6" count="1" selected="0">
            <x v="5"/>
          </reference>
        </references>
      </pivotArea>
    </chartFormat>
    <chartFormat chart="5" format="6">
      <pivotArea type="data" outline="0" fieldPosition="0">
        <references count="2">
          <reference field="4294967294" count="1" selected="0">
            <x v="0"/>
          </reference>
          <reference field="6" count="1" selected="0">
            <x v="7"/>
          </reference>
        </references>
      </pivotArea>
    </chartFormat>
    <chartFormat chart="5"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9D19A-014C-4C09-8A31-F80EE64F5C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5">
    <pivotField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51B6D-FC6E-4271-9400-C8EEA17B76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5">
    <pivotField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Number of google review in lakh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59FEE-1308-419B-AAD0-A4C12DDDB2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5">
    <pivotField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Google review ratin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CA809-CB11-4BB4-B8FB-429EEB20A6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38" firstHeaderRow="1" firstDataRow="1" firstDataCol="1"/>
  <pivotFields count="15">
    <pivotField showAll="0">
      <items count="7">
        <item x="4"/>
        <item x="3"/>
        <item x="5"/>
        <item x="0"/>
        <item x="2"/>
        <item x="1"/>
        <item t="default"/>
      </items>
    </pivotField>
    <pivotField axis="axisRow"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Name" fld="3"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9F25A-2C66-415D-BD3D-7C7B056A42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H11" firstHeaderRow="1" firstDataRow="1" firstDataCol="1"/>
  <pivotFields count="15">
    <pivotField axis="axisRow"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Count of Name" fld="3" subtotal="count"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CFE80-8612-4255-8A69-F265BC2823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E83" firstHeaderRow="1" firstDataRow="1" firstDataCol="1"/>
  <pivotFields count="15">
    <pivotField showAll="0">
      <items count="7">
        <item x="4"/>
        <item x="3"/>
        <item x="5"/>
        <item x="0"/>
        <item x="2"/>
        <item x="1"/>
        <item t="default"/>
      </items>
    </pivotField>
    <pivotField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pivotField dataField="1" showAll="0"/>
    <pivotField axis="axisRow"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Count of Name"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1084878-24AE-4B21-AB82-2645353A9FC9}" sourceName="State">
  <pivotTables>
    <pivotTable tabId="9" name="PivotTable4"/>
    <pivotTable tabId="9" name="PivotTable1"/>
    <pivotTable tabId="9" name="PivotTable2"/>
    <pivotTable tabId="9" name="PivotTable3"/>
    <pivotTable tabId="9" name="PivotTable5"/>
    <pivotTable tabId="9" name="PivotTable6"/>
    <pivotTable tabId="9" name="PivotTable7"/>
  </pivotTables>
  <data>
    <tabular pivotCacheId="309248507">
      <items count="33">
        <i x="27" s="1"/>
        <i x="19" s="1"/>
        <i x="22" s="1"/>
        <i x="21" s="1"/>
        <i x="30" s="1"/>
        <i x="24" s="1"/>
        <i x="28" s="1"/>
        <i x="0" s="1"/>
        <i x="5" s="1"/>
        <i x="6" s="1"/>
        <i x="31" s="1"/>
        <i x="12" s="1"/>
        <i x="15" s="1"/>
        <i x="29" s="1"/>
        <i x="2" s="1"/>
        <i x="9" s="1"/>
        <i x="16" s="1"/>
        <i x="11" s="1"/>
        <i x="10" s="1"/>
        <i x="1" s="1"/>
        <i x="32" s="1"/>
        <i x="25" s="1"/>
        <i x="17" s="1"/>
        <i x="26" s="1"/>
        <i x="8" s="1"/>
        <i x="7" s="1"/>
        <i x="20" s="1"/>
        <i x="18" s="1"/>
        <i x="3" s="1"/>
        <i x="23" s="1"/>
        <i x="14" s="1"/>
        <i x="1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C390FE5-B28C-4792-9BC4-C23D84730B8C}" sourceName="Type">
  <pivotTables>
    <pivotTable tabId="9" name="PivotTable5"/>
    <pivotTable tabId="9" name="PivotTable1"/>
    <pivotTable tabId="9" name="PivotTable2"/>
    <pivotTable tabId="9" name="PivotTable3"/>
    <pivotTable tabId="9" name="PivotTable4"/>
    <pivotTable tabId="9" name="PivotTable6"/>
    <pivotTable tabId="9" name="PivotTable7"/>
  </pivotTables>
  <data>
    <tabular pivotCacheId="309248507">
      <items count="78">
        <i x="52" s="1"/>
        <i x="17" s="1"/>
        <i x="66" s="1"/>
        <i x="16" s="1"/>
        <i x="30" s="1"/>
        <i x="38" s="1"/>
        <i x="19" s="1"/>
        <i x="25" s="1"/>
        <i x="43" s="1"/>
        <i x="28" s="1"/>
        <i x="75" s="1"/>
        <i x="59" s="1"/>
        <i x="26" s="1"/>
        <i x="32" s="1"/>
        <i x="64" s="1"/>
        <i x="73" s="1"/>
        <i x="23" s="1"/>
        <i x="6" s="1"/>
        <i x="57" s="1"/>
        <i x="20" s="1"/>
        <i x="61" s="1"/>
        <i x="54" s="1"/>
        <i x="60" s="1"/>
        <i x="31" s="1"/>
        <i x="68" s="1"/>
        <i x="22" s="1"/>
        <i x="21" s="1"/>
        <i x="74" s="1"/>
        <i x="5" s="1"/>
        <i x="44" s="1"/>
        <i x="37" s="1"/>
        <i x="50" s="1"/>
        <i x="11" s="1"/>
        <i x="76" s="1"/>
        <i x="42" s="1"/>
        <i x="9" s="1"/>
        <i x="14" s="1"/>
        <i x="72" s="1"/>
        <i x="4" s="1"/>
        <i x="58" s="1"/>
        <i x="18" s="1"/>
        <i x="8" s="1"/>
        <i x="48" s="1"/>
        <i x="13" s="1"/>
        <i x="77" s="1"/>
        <i x="67" s="1"/>
        <i x="15" s="1"/>
        <i x="36" s="1"/>
        <i x="69" s="1"/>
        <i x="70" s="1"/>
        <i x="40" s="1"/>
        <i x="49" s="1"/>
        <i x="12" s="1"/>
        <i x="39" s="1"/>
        <i x="35" s="1"/>
        <i x="27" s="1"/>
        <i x="55" s="1"/>
        <i x="65" s="1"/>
        <i x="7" s="1"/>
        <i x="63" s="1"/>
        <i x="56" s="1"/>
        <i x="51" s="1"/>
        <i x="2" s="1"/>
        <i x="47" s="1"/>
        <i x="3" s="1"/>
        <i x="1" s="1"/>
        <i x="24" s="1"/>
        <i x="71" s="1"/>
        <i x="53" s="1"/>
        <i x="33" s="1"/>
        <i x="46" s="1"/>
        <i x="41" s="1"/>
        <i x="62" s="1"/>
        <i x="45" s="1"/>
        <i x="0" s="1"/>
        <i x="29" s="1"/>
        <i x="34"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E8194D61-739F-4AE2-B973-F1FDA53B66E0}" sourceName="Zone">
  <pivotTables>
    <pivotTable tabId="9" name="PivotTable6"/>
    <pivotTable tabId="9" name="PivotTable1"/>
    <pivotTable tabId="9" name="PivotTable2"/>
    <pivotTable tabId="9" name="PivotTable3"/>
    <pivotTable tabId="9" name="PivotTable4"/>
    <pivotTable tabId="9" name="PivotTable5"/>
    <pivotTable tabId="9" name="PivotTable7"/>
  </pivotTables>
  <data>
    <tabular pivotCacheId="309248507">
      <items count="6">
        <i x="4" s="1"/>
        <i x="3" s="1"/>
        <i x="5"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C510C66-8378-4A5C-BFDC-44F3FB9529F4}" cache="Slicer_State" caption="State" style="SlicerStyleLight2" rowHeight="247650"/>
  <slicer name="Type" xr10:uid="{C3B3D6A7-1E82-48B9-804E-725F4540A798}" cache="Slicer_Type" caption="Type" style="SlicerStyleLight2" rowHeight="247650"/>
  <slicer name="Zone" xr10:uid="{ADD2A8B7-DA86-4AC1-AED8-E87FDF5129F6}" cache="Slicer_Zone" caption="Zon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077C2-3461-4219-B31D-83DE602F8D2A}" name="Table1" displayName="Table1" ref="A1:O326" totalsRowShown="0" headerRowDxfId="14" dataDxfId="13">
  <autoFilter ref="A1:O326" xr:uid="{A84077C2-3461-4219-B31D-83DE602F8D2A}"/>
  <tableColumns count="15">
    <tableColumn id="1" xr3:uid="{C2B2506D-2390-4152-9D09-BE02FDB0931D}" name="Zone"/>
    <tableColumn id="2" xr3:uid="{3C5BA6CB-BE2C-497E-8755-6FC0F8EE0ED1}" name="State" dataDxfId="12"/>
    <tableColumn id="3" xr3:uid="{E64F4A62-23DF-4491-B0EC-B473D9997784}" name="City" dataDxfId="11"/>
    <tableColumn id="4" xr3:uid="{942EB5F2-3F36-4314-A223-8C1F46BF3ED9}" name="Name" dataDxfId="10"/>
    <tableColumn id="5" xr3:uid="{4E61FEE5-7EA9-406D-831E-20931362B249}" name="Type" dataDxfId="9"/>
    <tableColumn id="6" xr3:uid="{F5EEA219-324D-42B8-BFCF-DD58F845E689}" name="Establishment Year" dataDxfId="8"/>
    <tableColumn id="7" xr3:uid="{8E4B8415-B55E-4E41-A22B-B8A4A61C6ADB}" name="time needed to visit in hrs" dataDxfId="7"/>
    <tableColumn id="8" xr3:uid="{386C7D83-B6A7-4988-A948-5CCBB67FE614}" name="Google review rating" dataDxfId="6"/>
    <tableColumn id="9" xr3:uid="{0E36F5EC-7B49-4484-8615-AC589707718A}" name="Entrance Fee in INR" dataDxfId="5"/>
    <tableColumn id="10" xr3:uid="{47E45E04-8A3D-4D04-A854-E4AC1E810EF9}" name="Airport with 50km Radius" dataDxfId="4"/>
    <tableColumn id="11" xr3:uid="{4B5C3D26-D24A-4DCF-9379-F112F1225D8D}" name="Weekly Off" dataDxfId="3"/>
    <tableColumn id="12" xr3:uid="{9467284F-1EFB-41B5-8DBB-5D456CDDC374}" name="Significance"/>
    <tableColumn id="13" xr3:uid="{569BC750-7EB6-44AF-9456-4E11EBA180D7}" name="DSLR Allowed" dataDxfId="2"/>
    <tableColumn id="14" xr3:uid="{EE7329CD-149B-44CB-85EE-2E5A323C9264}" name="Number of google review in lakhs" dataDxfId="1"/>
    <tableColumn id="15" xr3:uid="{53A97B56-2CB1-4CC6-88DA-C8D069098410}" name="Best Time to vis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DD96-39A2-4E37-B03F-623F4E985A2E}">
  <dimension ref="A1:O326"/>
  <sheetViews>
    <sheetView zoomScale="114" workbookViewId="0">
      <selection activeCell="B7" sqref="B7"/>
    </sheetView>
  </sheetViews>
  <sheetFormatPr defaultRowHeight="14.4" x14ac:dyDescent="0.3"/>
  <cols>
    <col min="2" max="2" width="11.88671875" style="1" customWidth="1"/>
    <col min="3" max="3" width="8.5546875" style="1" customWidth="1"/>
    <col min="4" max="4" width="20.77734375" style="1" customWidth="1"/>
    <col min="5" max="5" width="13" style="1" customWidth="1"/>
    <col min="6" max="6" width="19.109375" style="1" customWidth="1"/>
    <col min="7" max="7" width="24.33203125" style="1" customWidth="1"/>
    <col min="8" max="8" width="19.77734375" style="1" customWidth="1"/>
    <col min="9" max="9" width="19.109375" style="1" customWidth="1"/>
    <col min="10" max="10" width="23.6640625" style="1" customWidth="1"/>
    <col min="11" max="11" width="11.77734375" style="1" customWidth="1"/>
    <col min="12" max="12" width="12.77734375" customWidth="1"/>
    <col min="13" max="13" width="14.33203125" style="1" customWidth="1"/>
    <col min="14" max="14" width="30.5546875" style="1" customWidth="1"/>
    <col min="15" max="15" width="17" style="1" customWidth="1"/>
  </cols>
  <sheetData>
    <row r="1" spans="1:15" x14ac:dyDescent="0.3">
      <c r="A1" t="s">
        <v>0</v>
      </c>
      <c r="B1" s="1" t="s">
        <v>1</v>
      </c>
      <c r="C1" s="1" t="s">
        <v>2</v>
      </c>
      <c r="D1" s="1" t="s">
        <v>3</v>
      </c>
      <c r="E1" s="1" t="s">
        <v>4</v>
      </c>
      <c r="F1" s="1" t="s">
        <v>5</v>
      </c>
      <c r="G1" s="1" t="s">
        <v>6</v>
      </c>
      <c r="H1" s="1" t="s">
        <v>7</v>
      </c>
      <c r="I1" s="1" t="s">
        <v>8</v>
      </c>
      <c r="J1" s="1" t="s">
        <v>9</v>
      </c>
      <c r="K1" s="1" t="s">
        <v>10</v>
      </c>
      <c r="L1" t="s">
        <v>11</v>
      </c>
      <c r="M1" s="1" t="s">
        <v>12</v>
      </c>
      <c r="N1" s="1" t="s">
        <v>13</v>
      </c>
      <c r="O1" s="1" t="s">
        <v>14</v>
      </c>
    </row>
    <row r="2" spans="1:15" x14ac:dyDescent="0.3">
      <c r="A2" t="s">
        <v>15</v>
      </c>
      <c r="B2" s="1" t="s">
        <v>16</v>
      </c>
      <c r="C2" s="1" t="s">
        <v>16</v>
      </c>
      <c r="D2" s="1" t="s">
        <v>17</v>
      </c>
      <c r="E2" s="1" t="s">
        <v>18</v>
      </c>
      <c r="F2" s="1">
        <v>1921</v>
      </c>
      <c r="G2" s="1">
        <v>0.5</v>
      </c>
      <c r="H2" s="1">
        <v>4.5999999999999996</v>
      </c>
      <c r="I2" s="1">
        <v>0</v>
      </c>
      <c r="J2" s="1" t="s">
        <v>19</v>
      </c>
      <c r="K2" s="1" t="s">
        <v>20</v>
      </c>
      <c r="L2" t="s">
        <v>21</v>
      </c>
      <c r="M2" s="1" t="s">
        <v>19</v>
      </c>
      <c r="N2" s="1">
        <v>2.6</v>
      </c>
      <c r="O2" s="1" t="s">
        <v>22</v>
      </c>
    </row>
    <row r="3" spans="1:15" x14ac:dyDescent="0.3">
      <c r="A3" t="s">
        <v>15</v>
      </c>
      <c r="B3" s="1" t="s">
        <v>16</v>
      </c>
      <c r="C3" s="1" t="s">
        <v>16</v>
      </c>
      <c r="D3" s="1" t="s">
        <v>23</v>
      </c>
      <c r="E3" s="1" t="s">
        <v>24</v>
      </c>
      <c r="F3" s="1">
        <v>1572</v>
      </c>
      <c r="G3" s="1">
        <v>2</v>
      </c>
      <c r="H3" s="1">
        <v>4.5</v>
      </c>
      <c r="I3" s="1">
        <v>30</v>
      </c>
      <c r="J3" s="1" t="s">
        <v>19</v>
      </c>
      <c r="K3" s="1" t="s">
        <v>20</v>
      </c>
      <c r="L3" t="s">
        <v>21</v>
      </c>
      <c r="M3" s="1" t="s">
        <v>19</v>
      </c>
      <c r="N3" s="1">
        <v>0.4</v>
      </c>
      <c r="O3" s="1" t="s">
        <v>25</v>
      </c>
    </row>
    <row r="4" spans="1:15" x14ac:dyDescent="0.3">
      <c r="A4" t="s">
        <v>15</v>
      </c>
      <c r="B4" s="1" t="s">
        <v>16</v>
      </c>
      <c r="C4" s="1" t="s">
        <v>16</v>
      </c>
      <c r="D4" s="1" t="s">
        <v>26</v>
      </c>
      <c r="E4" s="1" t="s">
        <v>27</v>
      </c>
      <c r="F4" s="1">
        <v>2005</v>
      </c>
      <c r="G4" s="1">
        <v>5</v>
      </c>
      <c r="H4" s="1">
        <v>4.5999999999999996</v>
      </c>
      <c r="I4" s="1">
        <v>60</v>
      </c>
      <c r="J4" s="1" t="s">
        <v>19</v>
      </c>
      <c r="K4" s="1" t="s">
        <v>20</v>
      </c>
      <c r="L4" t="s">
        <v>28</v>
      </c>
      <c r="M4" s="1" t="s">
        <v>29</v>
      </c>
      <c r="N4" s="1">
        <v>0.4</v>
      </c>
      <c r="O4" s="1" t="s">
        <v>25</v>
      </c>
    </row>
    <row r="5" spans="1:15" x14ac:dyDescent="0.3">
      <c r="A5" t="s">
        <v>15</v>
      </c>
      <c r="B5" s="1" t="s">
        <v>16</v>
      </c>
      <c r="C5" s="1" t="s">
        <v>16</v>
      </c>
      <c r="D5" s="1" t="s">
        <v>30</v>
      </c>
      <c r="E5" s="1" t="s">
        <v>31</v>
      </c>
      <c r="F5" s="1">
        <v>2019</v>
      </c>
      <c r="G5" s="1">
        <v>2</v>
      </c>
      <c r="H5" s="1">
        <v>4.0999999999999996</v>
      </c>
      <c r="I5" s="1">
        <v>50</v>
      </c>
      <c r="J5" s="1" t="s">
        <v>19</v>
      </c>
      <c r="K5" s="1" t="s">
        <v>32</v>
      </c>
      <c r="L5" t="s">
        <v>33</v>
      </c>
      <c r="M5" s="1" t="s">
        <v>19</v>
      </c>
      <c r="N5" s="1">
        <v>0.27</v>
      </c>
      <c r="O5" s="1" t="s">
        <v>22</v>
      </c>
    </row>
    <row r="6" spans="1:15" x14ac:dyDescent="0.3">
      <c r="A6" t="s">
        <v>15</v>
      </c>
      <c r="B6" s="1" t="s">
        <v>16</v>
      </c>
      <c r="C6" s="1" t="s">
        <v>16</v>
      </c>
      <c r="D6" s="1" t="s">
        <v>34</v>
      </c>
      <c r="E6" s="1" t="s">
        <v>35</v>
      </c>
      <c r="F6" s="1">
        <v>1724</v>
      </c>
      <c r="G6" s="1">
        <v>2</v>
      </c>
      <c r="H6" s="1">
        <v>4.2</v>
      </c>
      <c r="I6" s="1">
        <v>15</v>
      </c>
      <c r="J6" s="1" t="s">
        <v>19</v>
      </c>
      <c r="K6" s="1" t="s">
        <v>20</v>
      </c>
      <c r="L6" t="s">
        <v>36</v>
      </c>
      <c r="M6" s="1" t="s">
        <v>19</v>
      </c>
      <c r="N6" s="1">
        <v>0.31</v>
      </c>
      <c r="O6" s="1" t="s">
        <v>37</v>
      </c>
    </row>
    <row r="7" spans="1:15" x14ac:dyDescent="0.3">
      <c r="A7" t="s">
        <v>15</v>
      </c>
      <c r="B7" s="1" t="s">
        <v>16</v>
      </c>
      <c r="C7" s="1" t="s">
        <v>16</v>
      </c>
      <c r="D7" s="1" t="s">
        <v>38</v>
      </c>
      <c r="E7" s="1" t="s">
        <v>39</v>
      </c>
      <c r="F7" s="1">
        <v>1700</v>
      </c>
      <c r="G7" s="1">
        <v>3</v>
      </c>
      <c r="H7" s="1">
        <v>4.2</v>
      </c>
      <c r="I7" s="1">
        <v>0</v>
      </c>
      <c r="J7" s="1" t="s">
        <v>19</v>
      </c>
      <c r="K7" s="1" t="s">
        <v>40</v>
      </c>
      <c r="L7" t="s">
        <v>39</v>
      </c>
      <c r="M7" s="1" t="s">
        <v>19</v>
      </c>
      <c r="N7" s="1">
        <v>0.25</v>
      </c>
      <c r="O7" s="1" t="s">
        <v>25</v>
      </c>
    </row>
    <row r="8" spans="1:15" x14ac:dyDescent="0.3">
      <c r="A8" t="s">
        <v>15</v>
      </c>
      <c r="B8" s="1" t="s">
        <v>16</v>
      </c>
      <c r="C8" s="1" t="s">
        <v>16</v>
      </c>
      <c r="D8" s="1" t="s">
        <v>41</v>
      </c>
      <c r="E8" s="1" t="s">
        <v>27</v>
      </c>
      <c r="F8" s="1">
        <v>1986</v>
      </c>
      <c r="G8" s="1">
        <v>1</v>
      </c>
      <c r="H8" s="1">
        <v>4.5</v>
      </c>
      <c r="I8" s="1">
        <v>0</v>
      </c>
      <c r="J8" s="1" t="s">
        <v>19</v>
      </c>
      <c r="K8" s="1" t="s">
        <v>32</v>
      </c>
      <c r="L8" t="s">
        <v>28</v>
      </c>
      <c r="M8" s="1" t="s">
        <v>19</v>
      </c>
      <c r="N8" s="1">
        <v>0.59</v>
      </c>
      <c r="O8" s="1" t="s">
        <v>22</v>
      </c>
    </row>
    <row r="9" spans="1:15" x14ac:dyDescent="0.3">
      <c r="A9" t="s">
        <v>15</v>
      </c>
      <c r="B9" s="1" t="s">
        <v>16</v>
      </c>
      <c r="C9" s="1" t="s">
        <v>16</v>
      </c>
      <c r="D9" s="1" t="s">
        <v>42</v>
      </c>
      <c r="E9" s="1" t="s">
        <v>43</v>
      </c>
      <c r="F9" s="1">
        <v>1648</v>
      </c>
      <c r="G9" s="1">
        <v>2</v>
      </c>
      <c r="H9" s="1">
        <v>4.5</v>
      </c>
      <c r="I9" s="1">
        <v>35</v>
      </c>
      <c r="J9" s="1" t="s">
        <v>19</v>
      </c>
      <c r="K9" s="1" t="s">
        <v>20</v>
      </c>
      <c r="L9" t="s">
        <v>21</v>
      </c>
      <c r="M9" s="1" t="s">
        <v>19</v>
      </c>
      <c r="N9" s="1">
        <v>1.5</v>
      </c>
      <c r="O9" s="1" t="s">
        <v>25</v>
      </c>
    </row>
    <row r="10" spans="1:15" x14ac:dyDescent="0.3">
      <c r="A10" t="s">
        <v>15</v>
      </c>
      <c r="B10" s="1" t="s">
        <v>16</v>
      </c>
      <c r="C10" s="1" t="s">
        <v>16</v>
      </c>
      <c r="D10" s="1" t="s">
        <v>44</v>
      </c>
      <c r="E10" s="1" t="s">
        <v>45</v>
      </c>
      <c r="F10" s="1">
        <v>1400</v>
      </c>
      <c r="G10" s="1">
        <v>1</v>
      </c>
      <c r="H10" s="1">
        <v>4.2</v>
      </c>
      <c r="I10" s="1">
        <v>0</v>
      </c>
      <c r="J10" s="1" t="s">
        <v>19</v>
      </c>
      <c r="K10" s="1" t="s">
        <v>20</v>
      </c>
      <c r="L10" t="s">
        <v>21</v>
      </c>
      <c r="M10" s="1" t="s">
        <v>19</v>
      </c>
      <c r="N10" s="1">
        <v>0.41</v>
      </c>
      <c r="O10" s="1" t="s">
        <v>25</v>
      </c>
    </row>
    <row r="11" spans="1:15" x14ac:dyDescent="0.3">
      <c r="A11" t="s">
        <v>15</v>
      </c>
      <c r="B11" s="1" t="s">
        <v>16</v>
      </c>
      <c r="C11" s="1" t="s">
        <v>16</v>
      </c>
      <c r="D11" s="1" t="s">
        <v>46</v>
      </c>
      <c r="E11" s="1" t="s">
        <v>47</v>
      </c>
      <c r="F11" s="1">
        <v>1600</v>
      </c>
      <c r="G11" s="1">
        <v>2</v>
      </c>
      <c r="H11" s="1">
        <v>4.5999999999999996</v>
      </c>
      <c r="I11" s="1">
        <v>0</v>
      </c>
      <c r="J11" s="1" t="s">
        <v>19</v>
      </c>
      <c r="K11" s="1" t="s">
        <v>20</v>
      </c>
      <c r="L11" t="s">
        <v>48</v>
      </c>
      <c r="M11" s="1" t="s">
        <v>19</v>
      </c>
      <c r="N11" s="1">
        <v>0.16</v>
      </c>
      <c r="O11" s="1" t="s">
        <v>25</v>
      </c>
    </row>
    <row r="12" spans="1:15" x14ac:dyDescent="0.3">
      <c r="A12" t="s">
        <v>15</v>
      </c>
      <c r="B12" s="1" t="s">
        <v>16</v>
      </c>
      <c r="C12" s="1" t="s">
        <v>16</v>
      </c>
      <c r="D12" s="1" t="s">
        <v>49</v>
      </c>
      <c r="E12" s="1" t="s">
        <v>47</v>
      </c>
      <c r="F12" s="1">
        <v>2003</v>
      </c>
      <c r="G12" s="1">
        <v>2</v>
      </c>
      <c r="H12" s="1">
        <v>4.0999999999999996</v>
      </c>
      <c r="I12" s="1">
        <v>35</v>
      </c>
      <c r="J12" s="1" t="s">
        <v>19</v>
      </c>
      <c r="K12" s="1" t="s">
        <v>20</v>
      </c>
      <c r="L12" t="s">
        <v>48</v>
      </c>
      <c r="M12" s="1" t="s">
        <v>19</v>
      </c>
      <c r="N12" s="1">
        <v>0.23</v>
      </c>
      <c r="O12" s="1" t="s">
        <v>37</v>
      </c>
    </row>
    <row r="13" spans="1:15" x14ac:dyDescent="0.3">
      <c r="A13" t="s">
        <v>15</v>
      </c>
      <c r="B13" s="1" t="s">
        <v>16</v>
      </c>
      <c r="C13" s="1" t="s">
        <v>16</v>
      </c>
      <c r="D13" s="1" t="s">
        <v>50</v>
      </c>
      <c r="E13" s="1" t="s">
        <v>47</v>
      </c>
      <c r="F13" s="1">
        <v>1500</v>
      </c>
      <c r="G13" s="1">
        <v>1</v>
      </c>
      <c r="H13" s="1">
        <v>4.5</v>
      </c>
      <c r="I13" s="1">
        <v>0</v>
      </c>
      <c r="J13" s="1" t="s">
        <v>19</v>
      </c>
      <c r="K13" s="1" t="s">
        <v>20</v>
      </c>
      <c r="L13" t="s">
        <v>48</v>
      </c>
      <c r="M13" s="1" t="s">
        <v>19</v>
      </c>
      <c r="N13" s="1">
        <v>0.48</v>
      </c>
      <c r="O13" s="1" t="s">
        <v>51</v>
      </c>
    </row>
    <row r="14" spans="1:15" x14ac:dyDescent="0.3">
      <c r="A14" t="s">
        <v>15</v>
      </c>
      <c r="B14" s="1" t="s">
        <v>16</v>
      </c>
      <c r="C14" s="1" t="s">
        <v>16</v>
      </c>
      <c r="D14" s="1" t="s">
        <v>52</v>
      </c>
      <c r="E14" s="1" t="s">
        <v>53</v>
      </c>
      <c r="F14" s="1">
        <v>1954</v>
      </c>
      <c r="G14" s="1">
        <v>3</v>
      </c>
      <c r="H14" s="1">
        <v>4.5</v>
      </c>
      <c r="I14" s="1">
        <v>20</v>
      </c>
      <c r="J14" s="1" t="s">
        <v>19</v>
      </c>
      <c r="K14" s="1" t="s">
        <v>32</v>
      </c>
      <c r="L14" t="s">
        <v>54</v>
      </c>
      <c r="M14" s="1" t="s">
        <v>19</v>
      </c>
      <c r="N14" s="1">
        <v>0.08</v>
      </c>
      <c r="O14" s="1" t="s">
        <v>51</v>
      </c>
    </row>
    <row r="15" spans="1:15" x14ac:dyDescent="0.3">
      <c r="A15" t="s">
        <v>15</v>
      </c>
      <c r="B15" s="1" t="s">
        <v>16</v>
      </c>
      <c r="C15" s="1" t="s">
        <v>16</v>
      </c>
      <c r="D15" s="1" t="s">
        <v>55</v>
      </c>
      <c r="E15" s="1" t="s">
        <v>56</v>
      </c>
      <c r="F15" s="1">
        <v>1959</v>
      </c>
      <c r="G15" s="1">
        <v>3</v>
      </c>
      <c r="H15" s="1">
        <v>4.0999999999999996</v>
      </c>
      <c r="I15" s="1">
        <v>80</v>
      </c>
      <c r="J15" s="1" t="s">
        <v>19</v>
      </c>
      <c r="K15" s="1" t="s">
        <v>57</v>
      </c>
      <c r="L15" t="s">
        <v>33</v>
      </c>
      <c r="M15" s="1" t="s">
        <v>19</v>
      </c>
      <c r="N15" s="1">
        <v>0.41</v>
      </c>
      <c r="O15" s="1" t="s">
        <v>51</v>
      </c>
    </row>
    <row r="16" spans="1:15" x14ac:dyDescent="0.3">
      <c r="A16" t="s">
        <v>15</v>
      </c>
      <c r="B16" s="1" t="s">
        <v>16</v>
      </c>
      <c r="C16" s="1" t="s">
        <v>16</v>
      </c>
      <c r="D16" s="1" t="s">
        <v>58</v>
      </c>
      <c r="E16" s="1" t="s">
        <v>59</v>
      </c>
      <c r="F16" s="1">
        <v>1192</v>
      </c>
      <c r="G16" s="1">
        <v>1</v>
      </c>
      <c r="H16" s="1">
        <v>4.5</v>
      </c>
      <c r="I16" s="1">
        <v>35</v>
      </c>
      <c r="J16" s="1" t="s">
        <v>19</v>
      </c>
      <c r="K16" s="1" t="s">
        <v>20</v>
      </c>
      <c r="L16" t="s">
        <v>21</v>
      </c>
      <c r="M16" s="1" t="s">
        <v>19</v>
      </c>
      <c r="N16" s="1">
        <v>1.37</v>
      </c>
      <c r="O16" s="1" t="s">
        <v>25</v>
      </c>
    </row>
    <row r="17" spans="1:15" x14ac:dyDescent="0.3">
      <c r="A17" t="s">
        <v>15</v>
      </c>
      <c r="B17" s="1" t="s">
        <v>16</v>
      </c>
      <c r="C17" s="1" t="s">
        <v>16</v>
      </c>
      <c r="D17" s="1" t="s">
        <v>60</v>
      </c>
      <c r="E17" s="1" t="s">
        <v>61</v>
      </c>
      <c r="F17" s="1">
        <v>1992</v>
      </c>
      <c r="G17" s="1">
        <v>5</v>
      </c>
      <c r="H17" s="1">
        <v>4.4000000000000004</v>
      </c>
      <c r="I17" s="1">
        <v>70</v>
      </c>
      <c r="J17" s="1" t="s">
        <v>19</v>
      </c>
      <c r="K17" s="1" t="s">
        <v>20</v>
      </c>
      <c r="L17" t="s">
        <v>36</v>
      </c>
      <c r="M17" s="1" t="s">
        <v>19</v>
      </c>
      <c r="N17" s="1">
        <v>0.23</v>
      </c>
      <c r="O17" s="1" t="s">
        <v>51</v>
      </c>
    </row>
    <row r="18" spans="1:15" x14ac:dyDescent="0.3">
      <c r="A18" t="s">
        <v>62</v>
      </c>
      <c r="B18" s="1" t="s">
        <v>63</v>
      </c>
      <c r="C18" s="1" t="s">
        <v>64</v>
      </c>
      <c r="D18" s="1" t="s">
        <v>65</v>
      </c>
      <c r="E18" s="1" t="s">
        <v>66</v>
      </c>
      <c r="F18" s="1" t="s">
        <v>67</v>
      </c>
      <c r="G18" s="1">
        <v>2</v>
      </c>
      <c r="H18" s="1">
        <v>4.5</v>
      </c>
      <c r="I18" s="1">
        <v>0</v>
      </c>
      <c r="J18" s="1" t="s">
        <v>19</v>
      </c>
      <c r="K18" s="1" t="s">
        <v>20</v>
      </c>
      <c r="L18" t="s">
        <v>68</v>
      </c>
      <c r="M18" s="1" t="s">
        <v>19</v>
      </c>
      <c r="N18" s="1">
        <v>1.5</v>
      </c>
      <c r="O18" s="1" t="s">
        <v>22</v>
      </c>
    </row>
    <row r="19" spans="1:15" x14ac:dyDescent="0.3">
      <c r="A19" t="s">
        <v>62</v>
      </c>
      <c r="B19" s="1" t="s">
        <v>63</v>
      </c>
      <c r="C19" s="1" t="s">
        <v>64</v>
      </c>
      <c r="D19" s="1" t="s">
        <v>69</v>
      </c>
      <c r="E19" s="1" t="s">
        <v>59</v>
      </c>
      <c r="F19" s="1">
        <v>1924</v>
      </c>
      <c r="G19" s="1">
        <v>1</v>
      </c>
      <c r="H19" s="1">
        <v>4.5999999999999996</v>
      </c>
      <c r="I19" s="1">
        <v>0</v>
      </c>
      <c r="J19" s="1" t="s">
        <v>19</v>
      </c>
      <c r="K19" s="1" t="s">
        <v>20</v>
      </c>
      <c r="L19" t="s">
        <v>21</v>
      </c>
      <c r="M19" s="1" t="s">
        <v>19</v>
      </c>
      <c r="N19" s="1">
        <v>3.6</v>
      </c>
      <c r="O19" s="1" t="s">
        <v>51</v>
      </c>
    </row>
    <row r="20" spans="1:15" x14ac:dyDescent="0.3">
      <c r="A20" t="s">
        <v>62</v>
      </c>
      <c r="B20" s="1" t="s">
        <v>63</v>
      </c>
      <c r="C20" s="1" t="s">
        <v>64</v>
      </c>
      <c r="D20" s="1" t="s">
        <v>70</v>
      </c>
      <c r="E20" s="1" t="s">
        <v>53</v>
      </c>
      <c r="F20" s="1">
        <v>1922</v>
      </c>
      <c r="G20" s="1">
        <v>1</v>
      </c>
      <c r="H20" s="1">
        <v>4.5999999999999996</v>
      </c>
      <c r="I20" s="1">
        <v>500</v>
      </c>
      <c r="J20" s="1" t="s">
        <v>19</v>
      </c>
      <c r="K20" s="1" t="s">
        <v>20</v>
      </c>
      <c r="L20" t="s">
        <v>21</v>
      </c>
      <c r="M20" s="1" t="s">
        <v>19</v>
      </c>
      <c r="N20" s="1">
        <v>0.34</v>
      </c>
      <c r="O20" s="1" t="s">
        <v>51</v>
      </c>
    </row>
    <row r="21" spans="1:15" x14ac:dyDescent="0.3">
      <c r="A21" t="s">
        <v>62</v>
      </c>
      <c r="B21" s="1" t="s">
        <v>63</v>
      </c>
      <c r="C21" s="1" t="s">
        <v>64</v>
      </c>
      <c r="D21" s="1" t="s">
        <v>71</v>
      </c>
      <c r="E21" s="1" t="s">
        <v>72</v>
      </c>
      <c r="F21" s="1">
        <v>1996</v>
      </c>
      <c r="G21" s="1">
        <v>3</v>
      </c>
      <c r="H21" s="1">
        <v>4.3</v>
      </c>
      <c r="I21" s="1">
        <v>50</v>
      </c>
      <c r="J21" s="1" t="s">
        <v>19</v>
      </c>
      <c r="K21" s="1" t="s">
        <v>32</v>
      </c>
      <c r="L21" t="s">
        <v>73</v>
      </c>
      <c r="M21" s="1" t="s">
        <v>19</v>
      </c>
      <c r="N21" s="1">
        <v>0.6</v>
      </c>
      <c r="O21" s="1" t="s">
        <v>51</v>
      </c>
    </row>
    <row r="22" spans="1:15" x14ac:dyDescent="0.3">
      <c r="A22" t="s">
        <v>62</v>
      </c>
      <c r="B22" s="1" t="s">
        <v>63</v>
      </c>
      <c r="C22" s="1" t="s">
        <v>64</v>
      </c>
      <c r="D22" s="1" t="s">
        <v>74</v>
      </c>
      <c r="E22" s="1" t="s">
        <v>27</v>
      </c>
      <c r="F22" s="1">
        <v>1881</v>
      </c>
      <c r="G22" s="1">
        <v>2</v>
      </c>
      <c r="H22" s="1">
        <v>4.8</v>
      </c>
      <c r="I22" s="1">
        <v>0</v>
      </c>
      <c r="J22" s="1" t="s">
        <v>19</v>
      </c>
      <c r="K22" s="1" t="s">
        <v>20</v>
      </c>
      <c r="L22" t="s">
        <v>28</v>
      </c>
      <c r="M22" s="1" t="s">
        <v>29</v>
      </c>
      <c r="N22" s="1">
        <v>1.05</v>
      </c>
      <c r="O22" s="1" t="s">
        <v>51</v>
      </c>
    </row>
    <row r="23" spans="1:15" x14ac:dyDescent="0.3">
      <c r="A23" t="s">
        <v>62</v>
      </c>
      <c r="B23" s="1" t="s">
        <v>63</v>
      </c>
      <c r="C23" s="1" t="s">
        <v>64</v>
      </c>
      <c r="D23" s="1" t="s">
        <v>75</v>
      </c>
      <c r="E23" s="1" t="s">
        <v>27</v>
      </c>
      <c r="F23" s="1">
        <v>1831</v>
      </c>
      <c r="G23" s="1">
        <v>1</v>
      </c>
      <c r="H23" s="1">
        <v>4.7</v>
      </c>
      <c r="I23" s="1">
        <v>0</v>
      </c>
      <c r="J23" s="1" t="s">
        <v>19</v>
      </c>
      <c r="K23" s="1" t="s">
        <v>20</v>
      </c>
      <c r="L23" t="s">
        <v>28</v>
      </c>
      <c r="M23" s="1" t="s">
        <v>29</v>
      </c>
      <c r="N23" s="1">
        <v>0.33</v>
      </c>
      <c r="O23" s="1" t="s">
        <v>51</v>
      </c>
    </row>
    <row r="24" spans="1:15" x14ac:dyDescent="0.3">
      <c r="A24" t="s">
        <v>62</v>
      </c>
      <c r="B24" s="1" t="s">
        <v>63</v>
      </c>
      <c r="C24" s="1" t="s">
        <v>64</v>
      </c>
      <c r="D24" s="1" t="s">
        <v>76</v>
      </c>
      <c r="E24" s="1" t="s">
        <v>77</v>
      </c>
      <c r="F24" s="1">
        <v>1431</v>
      </c>
      <c r="G24" s="1">
        <v>2</v>
      </c>
      <c r="H24" s="1">
        <v>4.4000000000000004</v>
      </c>
      <c r="I24" s="1">
        <v>0</v>
      </c>
      <c r="J24" s="1" t="s">
        <v>19</v>
      </c>
      <c r="K24" s="1" t="s">
        <v>20</v>
      </c>
      <c r="L24" t="s">
        <v>28</v>
      </c>
      <c r="M24" s="1" t="s">
        <v>29</v>
      </c>
      <c r="N24" s="1">
        <v>0.16</v>
      </c>
      <c r="O24" s="1" t="s">
        <v>51</v>
      </c>
    </row>
    <row r="25" spans="1:15" x14ac:dyDescent="0.3">
      <c r="A25" t="s">
        <v>62</v>
      </c>
      <c r="B25" s="1" t="s">
        <v>63</v>
      </c>
      <c r="C25" s="1" t="s">
        <v>64</v>
      </c>
      <c r="D25" s="1" t="s">
        <v>78</v>
      </c>
      <c r="E25" s="1" t="s">
        <v>79</v>
      </c>
      <c r="F25" s="1" t="s">
        <v>67</v>
      </c>
      <c r="G25" s="1">
        <v>2</v>
      </c>
      <c r="H25" s="1">
        <v>4.3</v>
      </c>
      <c r="I25" s="1">
        <v>0</v>
      </c>
      <c r="J25" s="1" t="s">
        <v>19</v>
      </c>
      <c r="K25" s="1" t="s">
        <v>20</v>
      </c>
      <c r="L25" t="s">
        <v>80</v>
      </c>
      <c r="M25" s="1" t="s">
        <v>19</v>
      </c>
      <c r="N25" s="1">
        <v>0.05</v>
      </c>
      <c r="O25" s="1" t="s">
        <v>22</v>
      </c>
    </row>
    <row r="26" spans="1:15" x14ac:dyDescent="0.3">
      <c r="A26" t="s">
        <v>62</v>
      </c>
      <c r="B26" s="1" t="s">
        <v>63</v>
      </c>
      <c r="C26" s="1" t="s">
        <v>64</v>
      </c>
      <c r="D26" s="1" t="s">
        <v>81</v>
      </c>
      <c r="E26" s="1" t="s">
        <v>82</v>
      </c>
      <c r="F26" s="1">
        <v>1986</v>
      </c>
      <c r="G26" s="1">
        <v>5</v>
      </c>
      <c r="H26" s="1">
        <v>4.3</v>
      </c>
      <c r="I26" s="1">
        <v>1149</v>
      </c>
      <c r="J26" s="1" t="s">
        <v>19</v>
      </c>
      <c r="K26" s="1" t="s">
        <v>20</v>
      </c>
      <c r="L26" t="s">
        <v>80</v>
      </c>
      <c r="M26" s="1" t="s">
        <v>19</v>
      </c>
      <c r="N26" s="1">
        <v>0.27</v>
      </c>
      <c r="O26" s="1" t="s">
        <v>51</v>
      </c>
    </row>
    <row r="27" spans="1:15" x14ac:dyDescent="0.3">
      <c r="A27" t="s">
        <v>62</v>
      </c>
      <c r="B27" s="1" t="s">
        <v>63</v>
      </c>
      <c r="C27" s="1" t="s">
        <v>64</v>
      </c>
      <c r="D27" s="1" t="s">
        <v>83</v>
      </c>
      <c r="E27" s="1" t="s">
        <v>59</v>
      </c>
      <c r="F27" s="1">
        <v>1987</v>
      </c>
      <c r="G27" s="1">
        <v>4</v>
      </c>
      <c r="H27" s="1">
        <v>4.3</v>
      </c>
      <c r="I27" s="1">
        <v>550</v>
      </c>
      <c r="J27" s="1" t="s">
        <v>19</v>
      </c>
      <c r="K27" s="1" t="s">
        <v>20</v>
      </c>
      <c r="L27" t="s">
        <v>21</v>
      </c>
      <c r="M27" s="1" t="s">
        <v>19</v>
      </c>
      <c r="N27" s="1">
        <v>0.35</v>
      </c>
      <c r="O27" s="1" t="s">
        <v>84</v>
      </c>
    </row>
    <row r="28" spans="1:15" x14ac:dyDescent="0.3">
      <c r="A28" t="s">
        <v>62</v>
      </c>
      <c r="B28" s="1" t="s">
        <v>63</v>
      </c>
      <c r="C28" s="1" t="s">
        <v>85</v>
      </c>
      <c r="D28" s="1" t="s">
        <v>86</v>
      </c>
      <c r="E28" s="1" t="s">
        <v>82</v>
      </c>
      <c r="F28" s="1">
        <v>2013</v>
      </c>
      <c r="G28" s="1">
        <v>5</v>
      </c>
      <c r="H28" s="1">
        <v>1.4</v>
      </c>
      <c r="I28" s="1">
        <v>1149</v>
      </c>
      <c r="J28" s="1" t="s">
        <v>29</v>
      </c>
      <c r="K28" s="1" t="s">
        <v>32</v>
      </c>
      <c r="L28" t="s">
        <v>80</v>
      </c>
      <c r="M28" s="1" t="s">
        <v>19</v>
      </c>
      <c r="N28" s="1">
        <v>0.95</v>
      </c>
      <c r="O28" s="1" t="s">
        <v>51</v>
      </c>
    </row>
    <row r="29" spans="1:15" x14ac:dyDescent="0.3">
      <c r="A29" t="s">
        <v>87</v>
      </c>
      <c r="B29" s="1" t="s">
        <v>88</v>
      </c>
      <c r="C29" s="1" t="s">
        <v>89</v>
      </c>
      <c r="D29" s="1" t="s">
        <v>90</v>
      </c>
      <c r="E29" s="1" t="s">
        <v>91</v>
      </c>
      <c r="F29" s="1">
        <v>1878</v>
      </c>
      <c r="G29" s="1">
        <v>2</v>
      </c>
      <c r="H29" s="1">
        <v>4.2</v>
      </c>
      <c r="I29" s="1">
        <v>500</v>
      </c>
      <c r="J29" s="1" t="s">
        <v>19</v>
      </c>
      <c r="K29" s="1" t="s">
        <v>32</v>
      </c>
      <c r="L29" t="s">
        <v>21</v>
      </c>
      <c r="M29" s="1" t="s">
        <v>19</v>
      </c>
      <c r="N29" s="1">
        <v>0.9</v>
      </c>
      <c r="O29" s="1" t="s">
        <v>37</v>
      </c>
    </row>
    <row r="30" spans="1:15" x14ac:dyDescent="0.3">
      <c r="A30" t="s">
        <v>87</v>
      </c>
      <c r="B30" s="1" t="s">
        <v>88</v>
      </c>
      <c r="C30" s="1" t="s">
        <v>89</v>
      </c>
      <c r="D30" s="1" t="s">
        <v>92</v>
      </c>
      <c r="E30" s="1" t="s">
        <v>93</v>
      </c>
      <c r="F30" s="1">
        <v>1760</v>
      </c>
      <c r="G30" s="1">
        <v>1.5</v>
      </c>
      <c r="H30" s="1">
        <v>4.4000000000000004</v>
      </c>
      <c r="I30" s="1">
        <v>20</v>
      </c>
      <c r="J30" s="1" t="s">
        <v>19</v>
      </c>
      <c r="K30" s="1" t="s">
        <v>20</v>
      </c>
      <c r="L30" t="s">
        <v>94</v>
      </c>
      <c r="M30" s="1" t="s">
        <v>19</v>
      </c>
      <c r="N30" s="1">
        <v>1.5</v>
      </c>
      <c r="O30" s="1" t="s">
        <v>22</v>
      </c>
    </row>
    <row r="31" spans="1:15" x14ac:dyDescent="0.3">
      <c r="A31" t="s">
        <v>87</v>
      </c>
      <c r="B31" s="1" t="s">
        <v>88</v>
      </c>
      <c r="C31" s="1" t="s">
        <v>89</v>
      </c>
      <c r="D31" s="1" t="s">
        <v>95</v>
      </c>
      <c r="E31" s="1" t="s">
        <v>47</v>
      </c>
      <c r="F31" s="1">
        <v>1870</v>
      </c>
      <c r="G31" s="1">
        <v>1</v>
      </c>
      <c r="H31" s="1">
        <v>4.4000000000000004</v>
      </c>
      <c r="I31" s="1">
        <v>0</v>
      </c>
      <c r="J31" s="1" t="s">
        <v>19</v>
      </c>
      <c r="K31" s="1" t="s">
        <v>20</v>
      </c>
      <c r="L31" t="s">
        <v>94</v>
      </c>
      <c r="M31" s="1" t="s">
        <v>19</v>
      </c>
      <c r="N31" s="1">
        <v>1.32</v>
      </c>
      <c r="O31" s="1" t="s">
        <v>37</v>
      </c>
    </row>
    <row r="32" spans="1:15" x14ac:dyDescent="0.3">
      <c r="A32" t="s">
        <v>87</v>
      </c>
      <c r="B32" s="1" t="s">
        <v>88</v>
      </c>
      <c r="C32" s="1" t="s">
        <v>89</v>
      </c>
      <c r="D32" s="1" t="s">
        <v>96</v>
      </c>
      <c r="E32" s="1" t="s">
        <v>97</v>
      </c>
      <c r="F32" s="1">
        <v>1956</v>
      </c>
      <c r="G32" s="1">
        <v>0.5</v>
      </c>
      <c r="H32" s="1">
        <v>4.5999999999999996</v>
      </c>
      <c r="I32" s="1">
        <v>0</v>
      </c>
      <c r="J32" s="1" t="s">
        <v>19</v>
      </c>
      <c r="K32" s="1" t="s">
        <v>20</v>
      </c>
      <c r="L32" t="s">
        <v>98</v>
      </c>
      <c r="M32" s="1" t="s">
        <v>29</v>
      </c>
      <c r="N32" s="1">
        <v>0.8</v>
      </c>
      <c r="O32" s="1" t="s">
        <v>37</v>
      </c>
    </row>
    <row r="33" spans="1:15" x14ac:dyDescent="0.3">
      <c r="A33" t="s">
        <v>87</v>
      </c>
      <c r="B33" s="1" t="s">
        <v>88</v>
      </c>
      <c r="C33" s="1" t="s">
        <v>89</v>
      </c>
      <c r="D33" s="1" t="s">
        <v>99</v>
      </c>
      <c r="E33" s="1" t="s">
        <v>27</v>
      </c>
      <c r="F33" s="1">
        <v>1997</v>
      </c>
      <c r="G33" s="1">
        <v>1</v>
      </c>
      <c r="H33" s="1">
        <v>4.5999999999999996</v>
      </c>
      <c r="I33" s="1">
        <v>0</v>
      </c>
      <c r="J33" s="1" t="s">
        <v>19</v>
      </c>
      <c r="K33" s="1" t="s">
        <v>20</v>
      </c>
      <c r="L33" t="s">
        <v>28</v>
      </c>
      <c r="M33" s="1" t="s">
        <v>19</v>
      </c>
      <c r="N33" s="1">
        <v>1.1399999999999999</v>
      </c>
      <c r="O33" s="1" t="s">
        <v>22</v>
      </c>
    </row>
    <row r="34" spans="1:15" x14ac:dyDescent="0.3">
      <c r="A34" t="s">
        <v>87</v>
      </c>
      <c r="B34" s="1" t="s">
        <v>100</v>
      </c>
      <c r="C34" s="1" t="s">
        <v>101</v>
      </c>
      <c r="D34" s="1" t="s">
        <v>102</v>
      </c>
      <c r="E34" s="1" t="s">
        <v>103</v>
      </c>
      <c r="F34" s="1">
        <v>1591</v>
      </c>
      <c r="G34" s="1">
        <v>1</v>
      </c>
      <c r="H34" s="1">
        <v>4.5</v>
      </c>
      <c r="I34" s="1">
        <v>25</v>
      </c>
      <c r="J34" s="1" t="s">
        <v>19</v>
      </c>
      <c r="K34" s="1" t="s">
        <v>57</v>
      </c>
      <c r="L34" t="s">
        <v>21</v>
      </c>
      <c r="M34" s="1" t="s">
        <v>19</v>
      </c>
      <c r="N34" s="1">
        <v>2.1</v>
      </c>
      <c r="O34" s="1" t="s">
        <v>37</v>
      </c>
    </row>
    <row r="35" spans="1:15" x14ac:dyDescent="0.3">
      <c r="A35" t="s">
        <v>87</v>
      </c>
      <c r="B35" s="1" t="s">
        <v>100</v>
      </c>
      <c r="C35" s="1" t="s">
        <v>101</v>
      </c>
      <c r="D35" s="1" t="s">
        <v>104</v>
      </c>
      <c r="E35" s="1" t="s">
        <v>43</v>
      </c>
      <c r="F35" s="1">
        <v>1600</v>
      </c>
      <c r="G35" s="1">
        <v>2</v>
      </c>
      <c r="H35" s="1">
        <v>4.4000000000000004</v>
      </c>
      <c r="I35" s="1">
        <v>30</v>
      </c>
      <c r="J35" s="1" t="s">
        <v>19</v>
      </c>
      <c r="K35" s="1" t="s">
        <v>20</v>
      </c>
      <c r="L35" t="s">
        <v>21</v>
      </c>
      <c r="M35" s="1" t="s">
        <v>19</v>
      </c>
      <c r="N35" s="1">
        <v>1.2</v>
      </c>
      <c r="O35" s="1" t="s">
        <v>37</v>
      </c>
    </row>
    <row r="36" spans="1:15" x14ac:dyDescent="0.3">
      <c r="A36" t="s">
        <v>87</v>
      </c>
      <c r="B36" s="1" t="s">
        <v>100</v>
      </c>
      <c r="C36" s="1" t="s">
        <v>101</v>
      </c>
      <c r="D36" s="1" t="s">
        <v>105</v>
      </c>
      <c r="E36" s="1" t="s">
        <v>106</v>
      </c>
      <c r="F36" s="1">
        <v>1563</v>
      </c>
      <c r="G36" s="1">
        <v>1</v>
      </c>
      <c r="H36" s="1">
        <v>4.3</v>
      </c>
      <c r="I36" s="1">
        <v>0</v>
      </c>
      <c r="J36" s="1" t="s">
        <v>19</v>
      </c>
      <c r="K36" s="1" t="s">
        <v>20</v>
      </c>
      <c r="L36" t="s">
        <v>68</v>
      </c>
      <c r="M36" s="1" t="s">
        <v>19</v>
      </c>
      <c r="N36" s="1">
        <v>0.5</v>
      </c>
      <c r="O36" s="1" t="s">
        <v>22</v>
      </c>
    </row>
    <row r="37" spans="1:15" x14ac:dyDescent="0.3">
      <c r="A37" t="s">
        <v>87</v>
      </c>
      <c r="B37" s="1" t="s">
        <v>100</v>
      </c>
      <c r="C37" s="1" t="s">
        <v>101</v>
      </c>
      <c r="D37" s="1" t="s">
        <v>107</v>
      </c>
      <c r="E37" s="1" t="s">
        <v>108</v>
      </c>
      <c r="F37" s="1">
        <v>1996</v>
      </c>
      <c r="G37" s="1">
        <v>4</v>
      </c>
      <c r="H37" s="1">
        <v>4.4000000000000004</v>
      </c>
      <c r="I37" s="1">
        <v>1150</v>
      </c>
      <c r="J37" s="1" t="s">
        <v>19</v>
      </c>
      <c r="K37" s="1" t="s">
        <v>20</v>
      </c>
      <c r="L37" t="s">
        <v>109</v>
      </c>
      <c r="M37" s="1" t="s">
        <v>19</v>
      </c>
      <c r="N37" s="1">
        <v>0.45</v>
      </c>
      <c r="O37" s="1" t="s">
        <v>51</v>
      </c>
    </row>
    <row r="38" spans="1:15" x14ac:dyDescent="0.3">
      <c r="A38" t="s">
        <v>87</v>
      </c>
      <c r="B38" s="1" t="s">
        <v>100</v>
      </c>
      <c r="C38" s="1" t="s">
        <v>101</v>
      </c>
      <c r="D38" s="1" t="s">
        <v>110</v>
      </c>
      <c r="E38" s="1" t="s">
        <v>53</v>
      </c>
      <c r="F38" s="1">
        <v>1951</v>
      </c>
      <c r="G38" s="1">
        <v>2</v>
      </c>
      <c r="H38" s="1">
        <v>4.4000000000000004</v>
      </c>
      <c r="I38" s="1">
        <v>20</v>
      </c>
      <c r="J38" s="1" t="s">
        <v>19</v>
      </c>
      <c r="K38" s="1" t="s">
        <v>20</v>
      </c>
      <c r="L38" t="s">
        <v>21</v>
      </c>
      <c r="M38" s="1" t="s">
        <v>19</v>
      </c>
      <c r="N38" s="1">
        <v>0.67</v>
      </c>
      <c r="O38" s="1" t="s">
        <v>51</v>
      </c>
    </row>
    <row r="39" spans="1:15" x14ac:dyDescent="0.3">
      <c r="A39" t="s">
        <v>87</v>
      </c>
      <c r="B39" s="1" t="s">
        <v>100</v>
      </c>
      <c r="C39" s="1" t="s">
        <v>101</v>
      </c>
      <c r="D39" s="1" t="s">
        <v>111</v>
      </c>
      <c r="E39" s="1" t="s">
        <v>112</v>
      </c>
      <c r="F39" s="1">
        <v>1600</v>
      </c>
      <c r="G39" s="1">
        <v>1</v>
      </c>
      <c r="H39" s="1">
        <v>4.4000000000000004</v>
      </c>
      <c r="I39" s="1">
        <v>25</v>
      </c>
      <c r="J39" s="1" t="s">
        <v>19</v>
      </c>
      <c r="K39" s="1" t="s">
        <v>20</v>
      </c>
      <c r="L39" t="s">
        <v>21</v>
      </c>
      <c r="M39" s="1" t="s">
        <v>19</v>
      </c>
      <c r="N39" s="1">
        <v>0.2</v>
      </c>
      <c r="O39" s="1" t="s">
        <v>37</v>
      </c>
    </row>
    <row r="40" spans="1:15" x14ac:dyDescent="0.3">
      <c r="A40" t="s">
        <v>87</v>
      </c>
      <c r="B40" s="1" t="s">
        <v>100</v>
      </c>
      <c r="C40" s="1" t="s">
        <v>101</v>
      </c>
      <c r="D40" s="1" t="s">
        <v>113</v>
      </c>
      <c r="E40" s="1" t="s">
        <v>27</v>
      </c>
      <c r="F40" s="1">
        <v>1976</v>
      </c>
      <c r="G40" s="1">
        <v>1</v>
      </c>
      <c r="H40" s="1">
        <v>4.7</v>
      </c>
      <c r="I40" s="1">
        <v>0</v>
      </c>
      <c r="J40" s="1" t="s">
        <v>19</v>
      </c>
      <c r="K40" s="1" t="s">
        <v>20</v>
      </c>
      <c r="L40" t="s">
        <v>28</v>
      </c>
      <c r="M40" s="1" t="s">
        <v>29</v>
      </c>
      <c r="N40" s="1">
        <v>0.41</v>
      </c>
      <c r="O40" s="1" t="s">
        <v>51</v>
      </c>
    </row>
    <row r="41" spans="1:15" x14ac:dyDescent="0.3">
      <c r="A41" t="s">
        <v>87</v>
      </c>
      <c r="B41" s="1" t="s">
        <v>100</v>
      </c>
      <c r="C41" s="1" t="s">
        <v>101</v>
      </c>
      <c r="D41" s="1" t="s">
        <v>114</v>
      </c>
      <c r="E41" s="1" t="s">
        <v>91</v>
      </c>
      <c r="F41" s="1">
        <v>1800</v>
      </c>
      <c r="G41" s="1">
        <v>1.5</v>
      </c>
      <c r="H41" s="1">
        <v>4.4000000000000004</v>
      </c>
      <c r="I41" s="1">
        <v>80</v>
      </c>
      <c r="J41" s="1" t="s">
        <v>19</v>
      </c>
      <c r="K41" s="1" t="s">
        <v>20</v>
      </c>
      <c r="L41" t="s">
        <v>21</v>
      </c>
      <c r="M41" s="1" t="s">
        <v>19</v>
      </c>
      <c r="N41" s="1">
        <v>0.45</v>
      </c>
      <c r="O41" s="1" t="s">
        <v>37</v>
      </c>
    </row>
    <row r="42" spans="1:15" x14ac:dyDescent="0.3">
      <c r="A42" t="s">
        <v>87</v>
      </c>
      <c r="B42" s="1" t="s">
        <v>100</v>
      </c>
      <c r="C42" s="1" t="s">
        <v>101</v>
      </c>
      <c r="D42" s="1" t="s">
        <v>115</v>
      </c>
      <c r="E42" s="1" t="s">
        <v>56</v>
      </c>
      <c r="F42" s="1">
        <v>1963</v>
      </c>
      <c r="G42" s="1">
        <v>3</v>
      </c>
      <c r="H42" s="1">
        <v>4.2</v>
      </c>
      <c r="I42" s="1">
        <v>50</v>
      </c>
      <c r="J42" s="1" t="s">
        <v>19</v>
      </c>
      <c r="K42" s="1" t="s">
        <v>20</v>
      </c>
      <c r="L42" t="s">
        <v>73</v>
      </c>
      <c r="M42" s="1" t="s">
        <v>19</v>
      </c>
      <c r="N42" s="1">
        <v>0.86</v>
      </c>
      <c r="O42" s="1" t="s">
        <v>37</v>
      </c>
    </row>
    <row r="43" spans="1:15" x14ac:dyDescent="0.3">
      <c r="A43" t="s">
        <v>87</v>
      </c>
      <c r="B43" s="1" t="s">
        <v>100</v>
      </c>
      <c r="C43" s="1" t="s">
        <v>101</v>
      </c>
      <c r="D43" s="1" t="s">
        <v>116</v>
      </c>
      <c r="E43" s="1" t="s">
        <v>47</v>
      </c>
      <c r="F43" s="1">
        <v>1994</v>
      </c>
      <c r="G43" s="1">
        <v>1</v>
      </c>
      <c r="H43" s="1">
        <v>4.0999999999999996</v>
      </c>
      <c r="I43" s="1">
        <v>20</v>
      </c>
      <c r="J43" s="1" t="s">
        <v>19</v>
      </c>
      <c r="K43" s="1" t="s">
        <v>20</v>
      </c>
      <c r="L43" t="s">
        <v>80</v>
      </c>
      <c r="M43" s="1" t="s">
        <v>19</v>
      </c>
      <c r="N43" s="1">
        <v>0.73</v>
      </c>
      <c r="O43" s="1" t="s">
        <v>22</v>
      </c>
    </row>
    <row r="44" spans="1:15" x14ac:dyDescent="0.3">
      <c r="A44" t="s">
        <v>117</v>
      </c>
      <c r="B44" s="1" t="s">
        <v>118</v>
      </c>
      <c r="C44" s="1" t="s">
        <v>119</v>
      </c>
      <c r="D44" s="1" t="s">
        <v>120</v>
      </c>
      <c r="E44" s="1" t="s">
        <v>53</v>
      </c>
      <c r="F44" s="1">
        <v>1921</v>
      </c>
      <c r="G44" s="1">
        <v>1.5</v>
      </c>
      <c r="H44" s="1">
        <v>4.5999999999999996</v>
      </c>
      <c r="I44" s="1">
        <v>30</v>
      </c>
      <c r="J44" s="1" t="s">
        <v>19</v>
      </c>
      <c r="K44" s="1" t="s">
        <v>32</v>
      </c>
      <c r="L44" t="s">
        <v>21</v>
      </c>
      <c r="M44" s="1" t="s">
        <v>19</v>
      </c>
      <c r="N44" s="1">
        <v>0.73</v>
      </c>
      <c r="O44" s="1" t="s">
        <v>37</v>
      </c>
    </row>
    <row r="45" spans="1:15" x14ac:dyDescent="0.3">
      <c r="A45" t="s">
        <v>117</v>
      </c>
      <c r="B45" s="1" t="s">
        <v>118</v>
      </c>
      <c r="C45" s="1" t="s">
        <v>119</v>
      </c>
      <c r="D45" s="1" t="s">
        <v>121</v>
      </c>
      <c r="E45" s="1" t="s">
        <v>122</v>
      </c>
      <c r="F45" s="1">
        <v>1943</v>
      </c>
      <c r="G45" s="1">
        <v>0.5</v>
      </c>
      <c r="H45" s="1">
        <v>4.5999999999999996</v>
      </c>
      <c r="I45" s="1">
        <v>0</v>
      </c>
      <c r="J45" s="1" t="s">
        <v>19</v>
      </c>
      <c r="K45" s="1" t="s">
        <v>20</v>
      </c>
      <c r="L45" t="s">
        <v>98</v>
      </c>
      <c r="M45" s="1" t="s">
        <v>29</v>
      </c>
      <c r="N45" s="1">
        <v>1.2</v>
      </c>
      <c r="O45" s="1" t="s">
        <v>123</v>
      </c>
    </row>
    <row r="46" spans="1:15" x14ac:dyDescent="0.3">
      <c r="A46" t="s">
        <v>117</v>
      </c>
      <c r="B46" s="1" t="s">
        <v>118</v>
      </c>
      <c r="C46" s="1" t="s">
        <v>119</v>
      </c>
      <c r="D46" s="1" t="s">
        <v>124</v>
      </c>
      <c r="E46" s="1" t="s">
        <v>53</v>
      </c>
      <c r="F46" s="1">
        <v>1814</v>
      </c>
      <c r="G46" s="1">
        <v>2</v>
      </c>
      <c r="H46" s="1">
        <v>4.5999999999999996</v>
      </c>
      <c r="I46" s="1">
        <v>50</v>
      </c>
      <c r="J46" s="1" t="s">
        <v>19</v>
      </c>
      <c r="K46" s="1" t="s">
        <v>32</v>
      </c>
      <c r="L46" t="s">
        <v>21</v>
      </c>
      <c r="M46" s="1" t="s">
        <v>19</v>
      </c>
      <c r="N46" s="1">
        <v>0.18</v>
      </c>
      <c r="O46" s="1" t="s">
        <v>37</v>
      </c>
    </row>
    <row r="47" spans="1:15" x14ac:dyDescent="0.3">
      <c r="A47" t="s">
        <v>117</v>
      </c>
      <c r="B47" s="1" t="s">
        <v>118</v>
      </c>
      <c r="C47" s="1" t="s">
        <v>119</v>
      </c>
      <c r="D47" s="1" t="s">
        <v>125</v>
      </c>
      <c r="E47" s="1" t="s">
        <v>27</v>
      </c>
      <c r="F47" s="1">
        <v>1855</v>
      </c>
      <c r="G47" s="1">
        <v>1</v>
      </c>
      <c r="H47" s="1">
        <v>4.7</v>
      </c>
      <c r="I47" s="1">
        <v>0</v>
      </c>
      <c r="J47" s="1" t="s">
        <v>19</v>
      </c>
      <c r="K47" s="1" t="s">
        <v>20</v>
      </c>
      <c r="L47" t="s">
        <v>28</v>
      </c>
      <c r="M47" s="1" t="s">
        <v>19</v>
      </c>
      <c r="N47" s="1">
        <v>0.82</v>
      </c>
      <c r="O47" s="1" t="s">
        <v>37</v>
      </c>
    </row>
    <row r="48" spans="1:15" x14ac:dyDescent="0.3">
      <c r="A48" t="s">
        <v>117</v>
      </c>
      <c r="B48" s="1" t="s">
        <v>118</v>
      </c>
      <c r="C48" s="1" t="s">
        <v>119</v>
      </c>
      <c r="D48" s="1" t="s">
        <v>126</v>
      </c>
      <c r="E48" s="1" t="s">
        <v>27</v>
      </c>
      <c r="F48" s="1">
        <v>1809</v>
      </c>
      <c r="G48" s="1">
        <v>1</v>
      </c>
      <c r="H48" s="1">
        <v>4.4000000000000004</v>
      </c>
      <c r="I48" s="1">
        <v>0</v>
      </c>
      <c r="J48" s="1" t="s">
        <v>19</v>
      </c>
      <c r="K48" s="1" t="s">
        <v>20</v>
      </c>
      <c r="L48" t="s">
        <v>28</v>
      </c>
      <c r="M48" s="1" t="s">
        <v>19</v>
      </c>
      <c r="N48" s="1">
        <v>0.5</v>
      </c>
      <c r="O48" s="1" t="s">
        <v>37</v>
      </c>
    </row>
    <row r="49" spans="1:15" x14ac:dyDescent="0.3">
      <c r="A49" t="s">
        <v>117</v>
      </c>
      <c r="B49" s="1" t="s">
        <v>118</v>
      </c>
      <c r="C49" s="1" t="s">
        <v>119</v>
      </c>
      <c r="D49" s="1" t="s">
        <v>127</v>
      </c>
      <c r="E49" s="1" t="s">
        <v>128</v>
      </c>
      <c r="F49" s="1">
        <v>1864</v>
      </c>
      <c r="G49" s="1">
        <v>3</v>
      </c>
      <c r="H49" s="1">
        <v>4.0999999999999996</v>
      </c>
      <c r="I49" s="1">
        <v>2500</v>
      </c>
      <c r="J49" s="1" t="s">
        <v>19</v>
      </c>
      <c r="K49" s="1" t="s">
        <v>20</v>
      </c>
      <c r="L49" t="s">
        <v>129</v>
      </c>
      <c r="M49" s="1" t="s">
        <v>19</v>
      </c>
      <c r="N49" s="1">
        <v>0.1</v>
      </c>
      <c r="O49" s="1" t="s">
        <v>51</v>
      </c>
    </row>
    <row r="50" spans="1:15" x14ac:dyDescent="0.3">
      <c r="A50" t="s">
        <v>117</v>
      </c>
      <c r="B50" s="1" t="s">
        <v>118</v>
      </c>
      <c r="C50" s="1" t="s">
        <v>119</v>
      </c>
      <c r="D50" s="1" t="s">
        <v>130</v>
      </c>
      <c r="E50" s="1" t="s">
        <v>56</v>
      </c>
      <c r="F50" s="1">
        <v>1876</v>
      </c>
      <c r="G50" s="1">
        <v>2</v>
      </c>
      <c r="H50" s="1">
        <v>4.3</v>
      </c>
      <c r="I50" s="1">
        <v>25</v>
      </c>
      <c r="J50" s="1" t="s">
        <v>19</v>
      </c>
      <c r="K50" s="1" t="s">
        <v>20</v>
      </c>
      <c r="L50" t="s">
        <v>73</v>
      </c>
      <c r="M50" s="1" t="s">
        <v>19</v>
      </c>
      <c r="N50" s="1">
        <v>0.66</v>
      </c>
      <c r="O50" s="1" t="s">
        <v>25</v>
      </c>
    </row>
    <row r="51" spans="1:15" x14ac:dyDescent="0.3">
      <c r="A51" t="s">
        <v>117</v>
      </c>
      <c r="B51" s="1" t="s">
        <v>118</v>
      </c>
      <c r="C51" s="1" t="s">
        <v>119</v>
      </c>
      <c r="D51" s="1" t="s">
        <v>131</v>
      </c>
      <c r="E51" s="1" t="s">
        <v>61</v>
      </c>
      <c r="F51" s="1">
        <v>1997</v>
      </c>
      <c r="G51" s="1">
        <v>3</v>
      </c>
      <c r="H51" s="1">
        <v>4.4000000000000004</v>
      </c>
      <c r="I51" s="1">
        <v>60</v>
      </c>
      <c r="J51" s="1" t="s">
        <v>19</v>
      </c>
      <c r="K51" s="1" t="s">
        <v>20</v>
      </c>
      <c r="L51" t="s">
        <v>132</v>
      </c>
      <c r="M51" s="1" t="s">
        <v>19</v>
      </c>
      <c r="N51" s="1">
        <v>0.88</v>
      </c>
      <c r="O51" s="1" t="s">
        <v>51</v>
      </c>
    </row>
    <row r="52" spans="1:15" x14ac:dyDescent="0.3">
      <c r="A52" t="s">
        <v>117</v>
      </c>
      <c r="B52" s="1" t="s">
        <v>118</v>
      </c>
      <c r="C52" s="1" t="s">
        <v>119</v>
      </c>
      <c r="D52" s="1" t="s">
        <v>133</v>
      </c>
      <c r="E52" s="1" t="s">
        <v>134</v>
      </c>
      <c r="F52" s="1">
        <v>1898</v>
      </c>
      <c r="G52" s="1">
        <v>1.5</v>
      </c>
      <c r="H52" s="1">
        <v>4.7</v>
      </c>
      <c r="I52" s="1">
        <v>0</v>
      </c>
      <c r="J52" s="1" t="s">
        <v>19</v>
      </c>
      <c r="K52" s="1" t="s">
        <v>20</v>
      </c>
      <c r="L52" t="s">
        <v>28</v>
      </c>
      <c r="M52" s="1" t="s">
        <v>19</v>
      </c>
      <c r="N52" s="1">
        <v>0.47</v>
      </c>
      <c r="O52" s="1" t="s">
        <v>37</v>
      </c>
    </row>
    <row r="53" spans="1:15" x14ac:dyDescent="0.3">
      <c r="A53" t="s">
        <v>117</v>
      </c>
      <c r="B53" s="1" t="s">
        <v>118</v>
      </c>
      <c r="C53" s="1" t="s">
        <v>119</v>
      </c>
      <c r="D53" s="1" t="s">
        <v>135</v>
      </c>
      <c r="E53" s="1" t="s">
        <v>91</v>
      </c>
      <c r="F53" s="1">
        <v>1835</v>
      </c>
      <c r="G53" s="1">
        <v>1</v>
      </c>
      <c r="H53" s="1">
        <v>4.4000000000000004</v>
      </c>
      <c r="I53" s="1">
        <v>0</v>
      </c>
      <c r="J53" s="1" t="s">
        <v>19</v>
      </c>
      <c r="K53" s="1" t="s">
        <v>20</v>
      </c>
      <c r="L53" t="s">
        <v>21</v>
      </c>
      <c r="M53" s="1" t="s">
        <v>19</v>
      </c>
      <c r="N53" s="1">
        <v>0.1</v>
      </c>
      <c r="O53" s="1" t="s">
        <v>25</v>
      </c>
    </row>
    <row r="54" spans="1:15" x14ac:dyDescent="0.3">
      <c r="A54" t="s">
        <v>87</v>
      </c>
      <c r="B54" s="1" t="s">
        <v>136</v>
      </c>
      <c r="C54" s="1" t="s">
        <v>136</v>
      </c>
      <c r="D54" s="1" t="s">
        <v>137</v>
      </c>
      <c r="E54" s="1" t="s">
        <v>79</v>
      </c>
      <c r="F54" s="1" t="s">
        <v>67</v>
      </c>
      <c r="G54" s="1">
        <v>2</v>
      </c>
      <c r="H54" s="1">
        <v>4.4000000000000004</v>
      </c>
      <c r="I54" s="1">
        <v>0</v>
      </c>
      <c r="J54" s="1" t="s">
        <v>19</v>
      </c>
      <c r="K54" s="1" t="s">
        <v>20</v>
      </c>
      <c r="L54" t="s">
        <v>68</v>
      </c>
      <c r="M54" s="1" t="s">
        <v>19</v>
      </c>
      <c r="N54" s="1">
        <v>0.26</v>
      </c>
      <c r="O54" s="1" t="s">
        <v>22</v>
      </c>
    </row>
    <row r="55" spans="1:15" x14ac:dyDescent="0.3">
      <c r="A55" t="s">
        <v>87</v>
      </c>
      <c r="B55" s="1" t="s">
        <v>136</v>
      </c>
      <c r="C55" s="1" t="s">
        <v>136</v>
      </c>
      <c r="D55" s="1" t="s">
        <v>138</v>
      </c>
      <c r="E55" s="1" t="s">
        <v>139</v>
      </c>
      <c r="F55" s="1">
        <v>1605</v>
      </c>
      <c r="G55" s="1">
        <v>1</v>
      </c>
      <c r="H55" s="1">
        <v>4.5</v>
      </c>
      <c r="I55" s="1">
        <v>0</v>
      </c>
      <c r="J55" s="1" t="s">
        <v>19</v>
      </c>
      <c r="K55" s="1" t="s">
        <v>20</v>
      </c>
      <c r="L55" t="s">
        <v>21</v>
      </c>
      <c r="M55" s="1" t="s">
        <v>19</v>
      </c>
      <c r="N55" s="1">
        <v>0.59</v>
      </c>
      <c r="O55" s="1" t="s">
        <v>25</v>
      </c>
    </row>
    <row r="56" spans="1:15" x14ac:dyDescent="0.3">
      <c r="A56" t="s">
        <v>87</v>
      </c>
      <c r="B56" s="1" t="s">
        <v>136</v>
      </c>
      <c r="C56" s="1" t="s">
        <v>136</v>
      </c>
      <c r="D56" s="1" t="s">
        <v>140</v>
      </c>
      <c r="E56" s="1" t="s">
        <v>43</v>
      </c>
      <c r="F56" s="1">
        <v>1612</v>
      </c>
      <c r="G56" s="1">
        <v>1.5</v>
      </c>
      <c r="H56" s="1">
        <v>4.2</v>
      </c>
      <c r="I56" s="1">
        <v>0</v>
      </c>
      <c r="J56" s="1" t="s">
        <v>19</v>
      </c>
      <c r="K56" s="1" t="s">
        <v>20</v>
      </c>
      <c r="L56" t="s">
        <v>21</v>
      </c>
      <c r="M56" s="1" t="s">
        <v>19</v>
      </c>
      <c r="N56" s="1">
        <v>0.95</v>
      </c>
      <c r="O56" s="1" t="s">
        <v>37</v>
      </c>
    </row>
    <row r="57" spans="1:15" x14ac:dyDescent="0.3">
      <c r="A57" t="s">
        <v>87</v>
      </c>
      <c r="B57" s="1" t="s">
        <v>136</v>
      </c>
      <c r="C57" s="1" t="s">
        <v>136</v>
      </c>
      <c r="D57" s="1" t="s">
        <v>141</v>
      </c>
      <c r="E57" s="1" t="s">
        <v>142</v>
      </c>
      <c r="F57" s="1" t="s">
        <v>67</v>
      </c>
      <c r="G57" s="1">
        <v>3</v>
      </c>
      <c r="H57" s="1">
        <v>4.5999999999999996</v>
      </c>
      <c r="I57" s="1">
        <v>500</v>
      </c>
      <c r="J57" s="1" t="s">
        <v>19</v>
      </c>
      <c r="K57" s="1" t="s">
        <v>20</v>
      </c>
      <c r="L57" t="s">
        <v>94</v>
      </c>
      <c r="M57" s="1" t="s">
        <v>19</v>
      </c>
      <c r="N57" s="1">
        <v>0.3</v>
      </c>
      <c r="O57" s="1" t="s">
        <v>25</v>
      </c>
    </row>
    <row r="58" spans="1:15" x14ac:dyDescent="0.3">
      <c r="A58" t="s">
        <v>87</v>
      </c>
      <c r="B58" s="1" t="s">
        <v>136</v>
      </c>
      <c r="C58" s="1" t="s">
        <v>136</v>
      </c>
      <c r="D58" s="1" t="s">
        <v>143</v>
      </c>
      <c r="E58" s="1" t="s">
        <v>79</v>
      </c>
      <c r="F58" s="1" t="s">
        <v>67</v>
      </c>
      <c r="G58" s="1">
        <v>2</v>
      </c>
      <c r="H58" s="1">
        <v>4.4000000000000004</v>
      </c>
      <c r="I58" s="1">
        <v>0</v>
      </c>
      <c r="J58" s="1" t="s">
        <v>19</v>
      </c>
      <c r="K58" s="1" t="s">
        <v>20</v>
      </c>
      <c r="L58" t="s">
        <v>68</v>
      </c>
      <c r="M58" s="1" t="s">
        <v>19</v>
      </c>
      <c r="N58" s="1">
        <v>0.18</v>
      </c>
      <c r="O58" s="1" t="s">
        <v>22</v>
      </c>
    </row>
    <row r="59" spans="1:15" x14ac:dyDescent="0.3">
      <c r="A59" t="s">
        <v>87</v>
      </c>
      <c r="B59" s="1" t="s">
        <v>136</v>
      </c>
      <c r="C59" s="1" t="s">
        <v>136</v>
      </c>
      <c r="D59" s="1" t="s">
        <v>144</v>
      </c>
      <c r="E59" s="1" t="s">
        <v>43</v>
      </c>
      <c r="F59" s="1">
        <v>1617</v>
      </c>
      <c r="G59" s="1">
        <v>1</v>
      </c>
      <c r="H59" s="1">
        <v>4.2</v>
      </c>
      <c r="I59" s="1">
        <v>0</v>
      </c>
      <c r="J59" s="1" t="s">
        <v>19</v>
      </c>
      <c r="K59" s="1" t="s">
        <v>20</v>
      </c>
      <c r="L59" t="s">
        <v>21</v>
      </c>
      <c r="M59" s="1" t="s">
        <v>19</v>
      </c>
      <c r="N59" s="1">
        <v>0.19</v>
      </c>
      <c r="O59" s="1" t="s">
        <v>22</v>
      </c>
    </row>
    <row r="60" spans="1:15" x14ac:dyDescent="0.3">
      <c r="A60" t="s">
        <v>87</v>
      </c>
      <c r="B60" s="1" t="s">
        <v>136</v>
      </c>
      <c r="C60" s="1" t="s">
        <v>136</v>
      </c>
      <c r="D60" s="1" t="s">
        <v>145</v>
      </c>
      <c r="E60" s="1" t="s">
        <v>139</v>
      </c>
      <c r="F60" s="1">
        <v>1640</v>
      </c>
      <c r="G60" s="1">
        <v>1</v>
      </c>
      <c r="H60" s="1">
        <v>4.5</v>
      </c>
      <c r="I60" s="1">
        <v>0</v>
      </c>
      <c r="J60" s="1" t="s">
        <v>19</v>
      </c>
      <c r="K60" s="1" t="s">
        <v>20</v>
      </c>
      <c r="L60" t="s">
        <v>21</v>
      </c>
      <c r="M60" s="1" t="s">
        <v>19</v>
      </c>
      <c r="N60" s="1">
        <v>0.05</v>
      </c>
      <c r="O60" s="1" t="s">
        <v>25</v>
      </c>
    </row>
    <row r="61" spans="1:15" x14ac:dyDescent="0.3">
      <c r="A61" t="s">
        <v>87</v>
      </c>
      <c r="B61" s="1" t="s">
        <v>136</v>
      </c>
      <c r="C61" s="1" t="s">
        <v>136</v>
      </c>
      <c r="D61" s="1" t="s">
        <v>146</v>
      </c>
      <c r="E61" s="1" t="s">
        <v>79</v>
      </c>
      <c r="F61" s="1" t="s">
        <v>67</v>
      </c>
      <c r="G61" s="1">
        <v>2</v>
      </c>
      <c r="H61" s="1">
        <v>4.5</v>
      </c>
      <c r="I61" s="1">
        <v>0</v>
      </c>
      <c r="J61" s="1" t="s">
        <v>19</v>
      </c>
      <c r="K61" s="1" t="s">
        <v>20</v>
      </c>
      <c r="L61" t="s">
        <v>68</v>
      </c>
      <c r="M61" s="1" t="s">
        <v>19</v>
      </c>
      <c r="N61" s="1">
        <v>0.35</v>
      </c>
      <c r="O61" s="1" t="s">
        <v>22</v>
      </c>
    </row>
    <row r="62" spans="1:15" x14ac:dyDescent="0.3">
      <c r="A62" t="s">
        <v>87</v>
      </c>
      <c r="B62" s="1" t="s">
        <v>136</v>
      </c>
      <c r="C62" s="1" t="s">
        <v>136</v>
      </c>
      <c r="D62" s="1" t="s">
        <v>147</v>
      </c>
      <c r="E62" s="1" t="s">
        <v>79</v>
      </c>
      <c r="F62" s="1" t="s">
        <v>67</v>
      </c>
      <c r="G62" s="1">
        <v>2</v>
      </c>
      <c r="H62" s="1">
        <v>4.5999999999999996</v>
      </c>
      <c r="I62" s="1">
        <v>0</v>
      </c>
      <c r="J62" s="1" t="s">
        <v>19</v>
      </c>
      <c r="K62" s="1" t="s">
        <v>20</v>
      </c>
      <c r="L62" t="s">
        <v>68</v>
      </c>
      <c r="M62" s="1" t="s">
        <v>19</v>
      </c>
      <c r="N62" s="1">
        <v>0.1</v>
      </c>
      <c r="O62" s="1" t="s">
        <v>22</v>
      </c>
    </row>
    <row r="63" spans="1:15" x14ac:dyDescent="0.3">
      <c r="A63" t="s">
        <v>87</v>
      </c>
      <c r="B63" s="1" t="s">
        <v>136</v>
      </c>
      <c r="C63" s="1" t="s">
        <v>136</v>
      </c>
      <c r="D63" s="1" t="s">
        <v>148</v>
      </c>
      <c r="E63" s="1" t="s">
        <v>79</v>
      </c>
      <c r="F63" s="1" t="s">
        <v>67</v>
      </c>
      <c r="G63" s="1">
        <v>2</v>
      </c>
      <c r="H63" s="1">
        <v>4.5999999999999996</v>
      </c>
      <c r="I63" s="1">
        <v>0</v>
      </c>
      <c r="J63" s="1" t="s">
        <v>19</v>
      </c>
      <c r="K63" s="1" t="s">
        <v>20</v>
      </c>
      <c r="L63" t="s">
        <v>68</v>
      </c>
      <c r="M63" s="1" t="s">
        <v>19</v>
      </c>
      <c r="N63" s="1">
        <v>0.27</v>
      </c>
      <c r="O63" s="1" t="s">
        <v>22</v>
      </c>
    </row>
    <row r="64" spans="1:15" x14ac:dyDescent="0.3">
      <c r="A64" t="s">
        <v>87</v>
      </c>
      <c r="B64" s="1" t="s">
        <v>136</v>
      </c>
      <c r="C64" s="1" t="s">
        <v>136</v>
      </c>
      <c r="D64" s="1" t="s">
        <v>149</v>
      </c>
      <c r="E64" s="1" t="s">
        <v>79</v>
      </c>
      <c r="F64" s="1" t="s">
        <v>67</v>
      </c>
      <c r="G64" s="1">
        <v>2</v>
      </c>
      <c r="H64" s="1">
        <v>4.3</v>
      </c>
      <c r="I64" s="1">
        <v>0</v>
      </c>
      <c r="J64" s="1" t="s">
        <v>19</v>
      </c>
      <c r="K64" s="1" t="s">
        <v>20</v>
      </c>
      <c r="L64" t="s">
        <v>68</v>
      </c>
      <c r="M64" s="1" t="s">
        <v>19</v>
      </c>
      <c r="N64" s="1">
        <v>0.1</v>
      </c>
      <c r="O64" s="1" t="s">
        <v>22</v>
      </c>
    </row>
    <row r="65" spans="1:15" x14ac:dyDescent="0.3">
      <c r="A65" t="s">
        <v>87</v>
      </c>
      <c r="B65" s="1" t="s">
        <v>136</v>
      </c>
      <c r="C65" s="1" t="s">
        <v>136</v>
      </c>
      <c r="D65" s="1" t="s">
        <v>150</v>
      </c>
      <c r="E65" s="1" t="s">
        <v>79</v>
      </c>
      <c r="F65" s="1" t="s">
        <v>67</v>
      </c>
      <c r="G65" s="1">
        <v>1.5</v>
      </c>
      <c r="H65" s="1">
        <v>4.2</v>
      </c>
      <c r="I65" s="1">
        <v>0</v>
      </c>
      <c r="J65" s="1" t="s">
        <v>19</v>
      </c>
      <c r="K65" s="1" t="s">
        <v>20</v>
      </c>
      <c r="L65" t="s">
        <v>68</v>
      </c>
      <c r="M65" s="1" t="s">
        <v>19</v>
      </c>
      <c r="N65" s="1">
        <v>0.3</v>
      </c>
      <c r="O65" s="1" t="s">
        <v>22</v>
      </c>
    </row>
    <row r="66" spans="1:15" x14ac:dyDescent="0.3">
      <c r="A66" t="s">
        <v>87</v>
      </c>
      <c r="B66" s="1" t="s">
        <v>136</v>
      </c>
      <c r="C66" s="1" t="s">
        <v>136</v>
      </c>
      <c r="D66" s="1" t="s">
        <v>151</v>
      </c>
      <c r="E66" s="1" t="s">
        <v>79</v>
      </c>
      <c r="F66" s="1" t="s">
        <v>67</v>
      </c>
      <c r="G66" s="1">
        <v>2</v>
      </c>
      <c r="H66" s="1">
        <v>4.5</v>
      </c>
      <c r="I66" s="1">
        <v>0</v>
      </c>
      <c r="J66" s="1" t="s">
        <v>19</v>
      </c>
      <c r="K66" s="1" t="s">
        <v>20</v>
      </c>
      <c r="L66" t="s">
        <v>68</v>
      </c>
      <c r="M66" s="1" t="s">
        <v>19</v>
      </c>
      <c r="N66" s="1">
        <v>0.01</v>
      </c>
      <c r="O66" s="1" t="s">
        <v>22</v>
      </c>
    </row>
    <row r="67" spans="1:15" x14ac:dyDescent="0.3">
      <c r="A67" t="s">
        <v>87</v>
      </c>
      <c r="B67" s="1" t="s">
        <v>136</v>
      </c>
      <c r="C67" s="1" t="s">
        <v>136</v>
      </c>
      <c r="D67" s="1" t="s">
        <v>152</v>
      </c>
      <c r="E67" s="1" t="s">
        <v>153</v>
      </c>
      <c r="F67" s="1">
        <v>1988</v>
      </c>
      <c r="G67" s="1">
        <v>2</v>
      </c>
      <c r="H67" s="1">
        <v>3.9</v>
      </c>
      <c r="I67" s="1">
        <v>10</v>
      </c>
      <c r="J67" s="1" t="s">
        <v>19</v>
      </c>
      <c r="K67" s="1" t="s">
        <v>20</v>
      </c>
      <c r="L67" t="s">
        <v>73</v>
      </c>
      <c r="M67" s="1" t="s">
        <v>19</v>
      </c>
      <c r="N67" s="1">
        <v>0.03</v>
      </c>
      <c r="O67" s="1" t="s">
        <v>25</v>
      </c>
    </row>
    <row r="68" spans="1:15" x14ac:dyDescent="0.3">
      <c r="A68" t="s">
        <v>62</v>
      </c>
      <c r="B68" s="1" t="s">
        <v>154</v>
      </c>
      <c r="C68" s="1" t="s">
        <v>155</v>
      </c>
      <c r="D68" s="1" t="s">
        <v>156</v>
      </c>
      <c r="E68" s="1" t="s">
        <v>21</v>
      </c>
      <c r="F68" s="1">
        <v>1915</v>
      </c>
      <c r="G68" s="1">
        <v>1.5</v>
      </c>
      <c r="H68" s="1">
        <v>4.5999999999999996</v>
      </c>
      <c r="I68" s="1">
        <v>0</v>
      </c>
      <c r="J68" s="1" t="s">
        <v>19</v>
      </c>
      <c r="K68" s="1" t="s">
        <v>20</v>
      </c>
      <c r="L68" t="s">
        <v>21</v>
      </c>
      <c r="M68" s="1" t="s">
        <v>19</v>
      </c>
      <c r="N68" s="1">
        <v>0.35</v>
      </c>
      <c r="O68" s="1" t="s">
        <v>37</v>
      </c>
    </row>
    <row r="69" spans="1:15" x14ac:dyDescent="0.3">
      <c r="A69" t="s">
        <v>62</v>
      </c>
      <c r="B69" s="1" t="s">
        <v>154</v>
      </c>
      <c r="C69" s="1" t="s">
        <v>157</v>
      </c>
      <c r="D69" s="1" t="s">
        <v>158</v>
      </c>
      <c r="E69" s="1" t="s">
        <v>27</v>
      </c>
      <c r="F69" s="1">
        <v>-400</v>
      </c>
      <c r="G69" s="1">
        <v>2</v>
      </c>
      <c r="H69" s="1">
        <v>4.7</v>
      </c>
      <c r="I69" s="1">
        <v>0</v>
      </c>
      <c r="J69" s="1" t="s">
        <v>29</v>
      </c>
      <c r="K69" s="1" t="s">
        <v>20</v>
      </c>
      <c r="L69" t="s">
        <v>28</v>
      </c>
      <c r="M69" s="1" t="s">
        <v>29</v>
      </c>
      <c r="N69" s="1">
        <v>0.59</v>
      </c>
      <c r="O69" s="1" t="s">
        <v>22</v>
      </c>
    </row>
    <row r="70" spans="1:15" x14ac:dyDescent="0.3">
      <c r="A70" t="s">
        <v>62</v>
      </c>
      <c r="B70" s="1" t="s">
        <v>154</v>
      </c>
      <c r="C70" s="1" t="s">
        <v>159</v>
      </c>
      <c r="D70" s="1" t="s">
        <v>160</v>
      </c>
      <c r="E70" s="1" t="s">
        <v>72</v>
      </c>
      <c r="F70" s="1">
        <v>1965</v>
      </c>
      <c r="G70" s="1">
        <v>3</v>
      </c>
      <c r="H70" s="1">
        <v>4.5</v>
      </c>
      <c r="I70" s="1">
        <v>3500</v>
      </c>
      <c r="J70" s="1" t="s">
        <v>29</v>
      </c>
      <c r="K70" s="1" t="s">
        <v>20</v>
      </c>
      <c r="L70" t="s">
        <v>73</v>
      </c>
      <c r="M70" s="1" t="s">
        <v>19</v>
      </c>
      <c r="N70" s="1">
        <v>0.08</v>
      </c>
      <c r="O70" s="1" t="s">
        <v>37</v>
      </c>
    </row>
    <row r="71" spans="1:15" x14ac:dyDescent="0.3">
      <c r="A71" t="s">
        <v>62</v>
      </c>
      <c r="B71" s="1" t="s">
        <v>154</v>
      </c>
      <c r="C71" s="1" t="s">
        <v>161</v>
      </c>
      <c r="D71" s="1" t="s">
        <v>162</v>
      </c>
      <c r="E71" s="1" t="s">
        <v>134</v>
      </c>
      <c r="F71" s="1">
        <v>1950</v>
      </c>
      <c r="G71" s="1">
        <v>2.5</v>
      </c>
      <c r="H71" s="1">
        <v>4.5999999999999996</v>
      </c>
      <c r="I71" s="1">
        <v>0</v>
      </c>
      <c r="J71" s="1" t="s">
        <v>19</v>
      </c>
      <c r="K71" s="1" t="s">
        <v>20</v>
      </c>
      <c r="L71" t="s">
        <v>94</v>
      </c>
      <c r="M71" s="1" t="s">
        <v>19</v>
      </c>
      <c r="N71" s="1">
        <v>0.12</v>
      </c>
      <c r="O71" s="1" t="s">
        <v>22</v>
      </c>
    </row>
    <row r="72" spans="1:15" x14ac:dyDescent="0.3">
      <c r="A72" t="s">
        <v>62</v>
      </c>
      <c r="B72" s="1" t="s">
        <v>154</v>
      </c>
      <c r="C72" s="1" t="s">
        <v>163</v>
      </c>
      <c r="D72" s="1" t="s">
        <v>164</v>
      </c>
      <c r="E72" s="1" t="s">
        <v>91</v>
      </c>
      <c r="F72" s="1">
        <v>1890</v>
      </c>
      <c r="G72" s="1">
        <v>2</v>
      </c>
      <c r="H72" s="1">
        <v>4.4000000000000004</v>
      </c>
      <c r="I72" s="1">
        <v>200</v>
      </c>
      <c r="J72" s="1" t="s">
        <v>19</v>
      </c>
      <c r="K72" s="1" t="s">
        <v>32</v>
      </c>
      <c r="L72" t="s">
        <v>21</v>
      </c>
      <c r="M72" s="1" t="s">
        <v>19</v>
      </c>
      <c r="N72" s="1">
        <v>0.17</v>
      </c>
      <c r="O72" s="1" t="s">
        <v>25</v>
      </c>
    </row>
    <row r="73" spans="1:15" x14ac:dyDescent="0.3">
      <c r="A73" t="s">
        <v>62</v>
      </c>
      <c r="B73" s="1" t="s">
        <v>154</v>
      </c>
      <c r="C73" s="1" t="s">
        <v>165</v>
      </c>
      <c r="D73" s="1" t="s">
        <v>166</v>
      </c>
      <c r="E73" s="1" t="s">
        <v>27</v>
      </c>
      <c r="F73" s="1">
        <v>1951</v>
      </c>
      <c r="G73" s="1">
        <v>2</v>
      </c>
      <c r="H73" s="1">
        <v>4.8</v>
      </c>
      <c r="I73" s="1">
        <v>0</v>
      </c>
      <c r="J73" s="1" t="s">
        <v>29</v>
      </c>
      <c r="K73" s="1" t="s">
        <v>20</v>
      </c>
      <c r="L73" t="s">
        <v>28</v>
      </c>
      <c r="M73" s="1" t="s">
        <v>29</v>
      </c>
      <c r="N73" s="1">
        <v>0.39</v>
      </c>
      <c r="O73" s="1" t="s">
        <v>37</v>
      </c>
    </row>
    <row r="74" spans="1:15" x14ac:dyDescent="0.3">
      <c r="A74" t="s">
        <v>62</v>
      </c>
      <c r="B74" s="1" t="s">
        <v>154</v>
      </c>
      <c r="C74" s="1" t="s">
        <v>167</v>
      </c>
      <c r="D74" s="1" t="s">
        <v>168</v>
      </c>
      <c r="E74" s="1" t="s">
        <v>169</v>
      </c>
      <c r="F74" s="1" t="s">
        <v>67</v>
      </c>
      <c r="G74" s="1">
        <v>3</v>
      </c>
      <c r="H74" s="1">
        <v>4.9000000000000004</v>
      </c>
      <c r="I74" s="1">
        <v>7500</v>
      </c>
      <c r="J74" s="1" t="s">
        <v>19</v>
      </c>
      <c r="K74" s="1" t="s">
        <v>20</v>
      </c>
      <c r="L74" t="s">
        <v>169</v>
      </c>
      <c r="M74" s="1" t="s">
        <v>19</v>
      </c>
      <c r="N74" s="1">
        <v>0.1</v>
      </c>
      <c r="O74" s="1" t="s">
        <v>22</v>
      </c>
    </row>
    <row r="75" spans="1:15" x14ac:dyDescent="0.3">
      <c r="A75" t="s">
        <v>62</v>
      </c>
      <c r="B75" s="1" t="s">
        <v>154</v>
      </c>
      <c r="C75" s="1" t="s">
        <v>170</v>
      </c>
      <c r="D75" s="1" t="s">
        <v>171</v>
      </c>
      <c r="E75" s="1" t="s">
        <v>59</v>
      </c>
      <c r="F75" s="1">
        <v>2018</v>
      </c>
      <c r="G75" s="1">
        <v>3</v>
      </c>
      <c r="H75" s="1">
        <v>4.5999999999999996</v>
      </c>
      <c r="I75" s="1">
        <v>350</v>
      </c>
      <c r="J75" s="1" t="s">
        <v>29</v>
      </c>
      <c r="K75" s="1" t="s">
        <v>32</v>
      </c>
      <c r="L75" t="s">
        <v>21</v>
      </c>
      <c r="M75" s="1" t="s">
        <v>19</v>
      </c>
      <c r="N75" s="1">
        <v>0.67</v>
      </c>
      <c r="O75" s="1" t="s">
        <v>51</v>
      </c>
    </row>
    <row r="76" spans="1:15" x14ac:dyDescent="0.3">
      <c r="A76" t="s">
        <v>62</v>
      </c>
      <c r="B76" s="1" t="s">
        <v>154</v>
      </c>
      <c r="C76" s="1" t="s">
        <v>172</v>
      </c>
      <c r="D76" s="1" t="s">
        <v>173</v>
      </c>
      <c r="E76" s="1" t="s">
        <v>53</v>
      </c>
      <c r="F76" s="1">
        <v>2013</v>
      </c>
      <c r="G76" s="1">
        <v>1.5</v>
      </c>
      <c r="H76" s="1">
        <v>4.5</v>
      </c>
      <c r="I76" s="1">
        <v>0</v>
      </c>
      <c r="J76" s="1" t="s">
        <v>29</v>
      </c>
      <c r="K76" s="1" t="s">
        <v>20</v>
      </c>
      <c r="L76" t="s">
        <v>21</v>
      </c>
      <c r="M76" s="1" t="s">
        <v>19</v>
      </c>
      <c r="N76" s="1">
        <v>0.05</v>
      </c>
      <c r="O76" s="1" t="s">
        <v>51</v>
      </c>
    </row>
    <row r="77" spans="1:15" x14ac:dyDescent="0.3">
      <c r="A77" t="s">
        <v>62</v>
      </c>
      <c r="B77" s="1" t="s">
        <v>154</v>
      </c>
      <c r="C77" s="1" t="s">
        <v>155</v>
      </c>
      <c r="D77" s="1" t="s">
        <v>174</v>
      </c>
      <c r="E77" s="1" t="s">
        <v>175</v>
      </c>
      <c r="F77" s="1">
        <v>2012</v>
      </c>
      <c r="G77" s="1">
        <v>1</v>
      </c>
      <c r="H77" s="1">
        <v>4.5999999999999996</v>
      </c>
      <c r="I77" s="1">
        <v>0</v>
      </c>
      <c r="J77" s="1" t="s">
        <v>19</v>
      </c>
      <c r="K77" s="1" t="s">
        <v>20</v>
      </c>
      <c r="L77" t="s">
        <v>80</v>
      </c>
      <c r="M77" s="1" t="s">
        <v>19</v>
      </c>
      <c r="N77" s="1">
        <v>0.1</v>
      </c>
      <c r="O77" s="1" t="s">
        <v>22</v>
      </c>
    </row>
    <row r="78" spans="1:15" x14ac:dyDescent="0.3">
      <c r="A78" t="s">
        <v>62</v>
      </c>
      <c r="B78" s="1" t="s">
        <v>154</v>
      </c>
      <c r="C78" s="1" t="s">
        <v>155</v>
      </c>
      <c r="D78" s="1" t="s">
        <v>176</v>
      </c>
      <c r="E78" s="1" t="s">
        <v>39</v>
      </c>
      <c r="F78" s="1" t="s">
        <v>67</v>
      </c>
      <c r="G78" s="1">
        <v>2</v>
      </c>
      <c r="H78" s="1">
        <v>4.4000000000000004</v>
      </c>
      <c r="I78" s="1">
        <v>0</v>
      </c>
      <c r="J78" s="1" t="s">
        <v>19</v>
      </c>
      <c r="K78" s="1" t="s">
        <v>20</v>
      </c>
      <c r="L78" t="s">
        <v>177</v>
      </c>
      <c r="M78" s="1" t="s">
        <v>19</v>
      </c>
      <c r="N78" s="1">
        <v>0.49</v>
      </c>
      <c r="O78" s="1" t="s">
        <v>178</v>
      </c>
    </row>
    <row r="79" spans="1:15" x14ac:dyDescent="0.3">
      <c r="A79" t="s">
        <v>62</v>
      </c>
      <c r="B79" s="1" t="s">
        <v>154</v>
      </c>
      <c r="C79" s="1" t="s">
        <v>155</v>
      </c>
      <c r="D79" s="1" t="s">
        <v>179</v>
      </c>
      <c r="E79" s="1" t="s">
        <v>106</v>
      </c>
      <c r="F79" s="1">
        <v>1451</v>
      </c>
      <c r="G79" s="1">
        <v>3</v>
      </c>
      <c r="H79" s="1">
        <v>4.5</v>
      </c>
      <c r="I79" s="1">
        <v>10</v>
      </c>
      <c r="J79" s="1" t="s">
        <v>19</v>
      </c>
      <c r="K79" s="1" t="s">
        <v>20</v>
      </c>
      <c r="L79" t="s">
        <v>80</v>
      </c>
      <c r="M79" s="1" t="s">
        <v>19</v>
      </c>
      <c r="N79" s="1">
        <v>0.3</v>
      </c>
      <c r="O79" s="1" t="s">
        <v>25</v>
      </c>
    </row>
    <row r="80" spans="1:15" x14ac:dyDescent="0.3">
      <c r="A80" t="s">
        <v>62</v>
      </c>
      <c r="B80" s="1" t="s">
        <v>154</v>
      </c>
      <c r="C80" s="1" t="s">
        <v>155</v>
      </c>
      <c r="D80" s="1" t="s">
        <v>180</v>
      </c>
      <c r="E80" s="1" t="s">
        <v>61</v>
      </c>
      <c r="F80" s="1">
        <v>2002</v>
      </c>
      <c r="G80" s="1">
        <v>7</v>
      </c>
      <c r="H80" s="1">
        <v>4.4000000000000004</v>
      </c>
      <c r="I80" s="1">
        <v>500</v>
      </c>
      <c r="J80" s="1" t="s">
        <v>19</v>
      </c>
      <c r="K80" s="1" t="s">
        <v>32</v>
      </c>
      <c r="L80" t="s">
        <v>132</v>
      </c>
      <c r="M80" s="1" t="s">
        <v>19</v>
      </c>
      <c r="N80" s="1">
        <v>0.11</v>
      </c>
      <c r="O80" s="1" t="s">
        <v>51</v>
      </c>
    </row>
    <row r="81" spans="1:15" x14ac:dyDescent="0.3">
      <c r="A81" t="s">
        <v>15</v>
      </c>
      <c r="B81" s="1" t="s">
        <v>181</v>
      </c>
      <c r="C81" s="1" t="s">
        <v>182</v>
      </c>
      <c r="D81" s="1" t="s">
        <v>183</v>
      </c>
      <c r="E81" s="1" t="s">
        <v>91</v>
      </c>
      <c r="F81" s="1">
        <v>1799</v>
      </c>
      <c r="G81" s="1">
        <v>1</v>
      </c>
      <c r="H81" s="1">
        <v>4.4000000000000004</v>
      </c>
      <c r="I81" s="1">
        <v>50</v>
      </c>
      <c r="J81" s="1" t="s">
        <v>19</v>
      </c>
      <c r="K81" s="1" t="s">
        <v>20</v>
      </c>
      <c r="L81" t="s">
        <v>98</v>
      </c>
      <c r="M81" s="1" t="s">
        <v>19</v>
      </c>
      <c r="N81" s="1">
        <v>1.3</v>
      </c>
      <c r="O81" s="1" t="s">
        <v>37</v>
      </c>
    </row>
    <row r="82" spans="1:15" x14ac:dyDescent="0.3">
      <c r="A82" t="s">
        <v>15</v>
      </c>
      <c r="B82" s="1" t="s">
        <v>181</v>
      </c>
      <c r="C82" s="1" t="s">
        <v>184</v>
      </c>
      <c r="D82" s="1" t="s">
        <v>185</v>
      </c>
      <c r="E82" s="1" t="s">
        <v>91</v>
      </c>
      <c r="F82" s="1">
        <v>1559</v>
      </c>
      <c r="G82" s="1">
        <v>2</v>
      </c>
      <c r="H82" s="1">
        <v>4.4000000000000004</v>
      </c>
      <c r="I82" s="1">
        <v>300</v>
      </c>
      <c r="J82" s="1" t="s">
        <v>19</v>
      </c>
      <c r="K82" s="1" t="s">
        <v>20</v>
      </c>
      <c r="L82" t="s">
        <v>21</v>
      </c>
      <c r="M82" s="1" t="s">
        <v>19</v>
      </c>
      <c r="N82" s="1">
        <v>0.51</v>
      </c>
      <c r="O82" s="1" t="s">
        <v>51</v>
      </c>
    </row>
    <row r="83" spans="1:15" x14ac:dyDescent="0.3">
      <c r="A83" t="s">
        <v>15</v>
      </c>
      <c r="B83" s="1" t="s">
        <v>181</v>
      </c>
      <c r="C83" s="1" t="s">
        <v>186</v>
      </c>
      <c r="D83" s="1" t="s">
        <v>187</v>
      </c>
      <c r="E83" s="1" t="s">
        <v>43</v>
      </c>
      <c r="F83" s="1">
        <v>1156</v>
      </c>
      <c r="G83" s="1">
        <v>2.5</v>
      </c>
      <c r="H83" s="1">
        <v>4.4000000000000004</v>
      </c>
      <c r="I83" s="1">
        <v>50</v>
      </c>
      <c r="J83" s="1" t="s">
        <v>29</v>
      </c>
      <c r="K83" s="1" t="s">
        <v>20</v>
      </c>
      <c r="L83" t="s">
        <v>21</v>
      </c>
      <c r="M83" s="1" t="s">
        <v>19</v>
      </c>
      <c r="N83" s="1">
        <v>0.56000000000000005</v>
      </c>
      <c r="O83" s="1" t="s">
        <v>51</v>
      </c>
    </row>
    <row r="84" spans="1:15" x14ac:dyDescent="0.3">
      <c r="A84" t="s">
        <v>15</v>
      </c>
      <c r="B84" s="1" t="s">
        <v>181</v>
      </c>
      <c r="C84" s="1" t="s">
        <v>188</v>
      </c>
      <c r="D84" s="1" t="s">
        <v>189</v>
      </c>
      <c r="E84" s="1" t="s">
        <v>190</v>
      </c>
      <c r="F84" s="1">
        <v>1980</v>
      </c>
      <c r="G84" s="1">
        <v>3</v>
      </c>
      <c r="H84" s="1">
        <v>4.5999999999999996</v>
      </c>
      <c r="I84" s="1">
        <v>500</v>
      </c>
      <c r="J84" s="1" t="s">
        <v>29</v>
      </c>
      <c r="K84" s="1" t="s">
        <v>20</v>
      </c>
      <c r="L84" t="s">
        <v>73</v>
      </c>
      <c r="M84" s="1" t="s">
        <v>19</v>
      </c>
      <c r="N84" s="1">
        <v>0.09</v>
      </c>
      <c r="O84" s="1" t="s">
        <v>51</v>
      </c>
    </row>
    <row r="85" spans="1:15" x14ac:dyDescent="0.3">
      <c r="A85" t="s">
        <v>15</v>
      </c>
      <c r="B85" s="1" t="s">
        <v>181</v>
      </c>
      <c r="C85" s="1" t="s">
        <v>191</v>
      </c>
      <c r="D85" s="1" t="s">
        <v>192</v>
      </c>
      <c r="E85" s="1" t="s">
        <v>27</v>
      </c>
      <c r="F85" s="1">
        <v>1400</v>
      </c>
      <c r="G85" s="1">
        <v>1.5</v>
      </c>
      <c r="H85" s="1">
        <v>4.4000000000000004</v>
      </c>
      <c r="I85" s="1">
        <v>0</v>
      </c>
      <c r="J85" s="1" t="s">
        <v>29</v>
      </c>
      <c r="K85" s="1" t="s">
        <v>20</v>
      </c>
      <c r="L85" t="s">
        <v>28</v>
      </c>
      <c r="M85" s="1" t="s">
        <v>19</v>
      </c>
      <c r="N85" s="1">
        <v>1.6</v>
      </c>
      <c r="O85" s="1" t="s">
        <v>51</v>
      </c>
    </row>
    <row r="86" spans="1:15" x14ac:dyDescent="0.3">
      <c r="A86" t="s">
        <v>15</v>
      </c>
      <c r="B86" s="1" t="s">
        <v>181</v>
      </c>
      <c r="C86" s="1" t="s">
        <v>193</v>
      </c>
      <c r="D86" s="1" t="s">
        <v>194</v>
      </c>
      <c r="E86" s="1" t="s">
        <v>195</v>
      </c>
      <c r="F86" s="1">
        <v>1236</v>
      </c>
      <c r="G86" s="1">
        <v>1</v>
      </c>
      <c r="H86" s="1">
        <v>4.5999999999999996</v>
      </c>
      <c r="I86" s="1">
        <v>0</v>
      </c>
      <c r="J86" s="1" t="s">
        <v>19</v>
      </c>
      <c r="K86" s="1" t="s">
        <v>20</v>
      </c>
      <c r="L86" t="s">
        <v>28</v>
      </c>
      <c r="M86" s="1" t="s">
        <v>29</v>
      </c>
      <c r="N86" s="1">
        <v>0.35</v>
      </c>
      <c r="O86" s="1" t="s">
        <v>51</v>
      </c>
    </row>
    <row r="87" spans="1:15" x14ac:dyDescent="0.3">
      <c r="A87" t="s">
        <v>15</v>
      </c>
      <c r="B87" s="1" t="s">
        <v>181</v>
      </c>
      <c r="C87" s="1" t="s">
        <v>196</v>
      </c>
      <c r="D87" s="1" t="s">
        <v>197</v>
      </c>
      <c r="E87" s="1" t="s">
        <v>43</v>
      </c>
      <c r="F87" s="1">
        <v>1459</v>
      </c>
      <c r="G87" s="1">
        <v>2</v>
      </c>
      <c r="H87" s="1">
        <v>4.5999999999999996</v>
      </c>
      <c r="I87" s="1">
        <v>100</v>
      </c>
      <c r="J87" s="1" t="s">
        <v>19</v>
      </c>
      <c r="K87" s="1" t="s">
        <v>20</v>
      </c>
      <c r="L87" t="s">
        <v>21</v>
      </c>
      <c r="M87" s="1" t="s">
        <v>19</v>
      </c>
      <c r="N87" s="1">
        <v>0.64</v>
      </c>
      <c r="O87" s="1" t="s">
        <v>51</v>
      </c>
    </row>
    <row r="88" spans="1:15" x14ac:dyDescent="0.3">
      <c r="A88" t="s">
        <v>15</v>
      </c>
      <c r="B88" s="1" t="s">
        <v>181</v>
      </c>
      <c r="C88" s="1" t="s">
        <v>198</v>
      </c>
      <c r="D88" s="1" t="s">
        <v>199</v>
      </c>
      <c r="E88" s="1" t="s">
        <v>43</v>
      </c>
      <c r="F88" s="1">
        <v>700</v>
      </c>
      <c r="G88" s="1">
        <v>2</v>
      </c>
      <c r="H88" s="1">
        <v>4.5999999999999996</v>
      </c>
      <c r="I88" s="1">
        <v>40</v>
      </c>
      <c r="J88" s="1" t="s">
        <v>29</v>
      </c>
      <c r="K88" s="1" t="s">
        <v>20</v>
      </c>
      <c r="L88" t="s">
        <v>21</v>
      </c>
      <c r="M88" s="1" t="s">
        <v>19</v>
      </c>
      <c r="N88" s="1">
        <v>1.9</v>
      </c>
      <c r="O88" s="1" t="s">
        <v>51</v>
      </c>
    </row>
    <row r="89" spans="1:15" x14ac:dyDescent="0.3">
      <c r="A89" t="s">
        <v>15</v>
      </c>
      <c r="B89" s="1" t="s">
        <v>181</v>
      </c>
      <c r="C89" s="1" t="s">
        <v>200</v>
      </c>
      <c r="D89" s="1" t="s">
        <v>201</v>
      </c>
      <c r="E89" s="1" t="s">
        <v>27</v>
      </c>
      <c r="F89" s="1">
        <v>1100</v>
      </c>
      <c r="G89" s="1">
        <v>1</v>
      </c>
      <c r="H89" s="1">
        <v>4.5999999999999996</v>
      </c>
      <c r="I89" s="1">
        <v>0</v>
      </c>
      <c r="J89" s="1" t="s">
        <v>29</v>
      </c>
      <c r="K89" s="1" t="s">
        <v>20</v>
      </c>
      <c r="L89" t="s">
        <v>28</v>
      </c>
      <c r="M89" s="1" t="s">
        <v>29</v>
      </c>
      <c r="N89" s="1">
        <v>0.05</v>
      </c>
      <c r="O89" s="1" t="s">
        <v>51</v>
      </c>
    </row>
    <row r="90" spans="1:15" x14ac:dyDescent="0.3">
      <c r="A90" t="s">
        <v>15</v>
      </c>
      <c r="B90" s="1" t="s">
        <v>181</v>
      </c>
      <c r="C90" s="1" t="s">
        <v>202</v>
      </c>
      <c r="D90" s="1" t="s">
        <v>203</v>
      </c>
      <c r="E90" s="1" t="s">
        <v>43</v>
      </c>
      <c r="F90" s="1">
        <v>1589</v>
      </c>
      <c r="G90" s="1">
        <v>2</v>
      </c>
      <c r="H90" s="1">
        <v>4.5</v>
      </c>
      <c r="I90" s="1">
        <v>50</v>
      </c>
      <c r="J90" s="1" t="s">
        <v>19</v>
      </c>
      <c r="K90" s="1" t="s">
        <v>20</v>
      </c>
      <c r="L90" t="s">
        <v>21</v>
      </c>
      <c r="M90" s="1" t="s">
        <v>19</v>
      </c>
      <c r="N90" s="1">
        <v>0.32</v>
      </c>
      <c r="O90" s="1" t="s">
        <v>51</v>
      </c>
    </row>
    <row r="91" spans="1:15" x14ac:dyDescent="0.3">
      <c r="A91" t="s">
        <v>15</v>
      </c>
      <c r="B91" s="1" t="s">
        <v>181</v>
      </c>
      <c r="C91" s="1" t="s">
        <v>182</v>
      </c>
      <c r="D91" s="1" t="s">
        <v>204</v>
      </c>
      <c r="E91" s="1" t="s">
        <v>43</v>
      </c>
      <c r="F91" s="1">
        <v>1592</v>
      </c>
      <c r="G91" s="1">
        <v>2</v>
      </c>
      <c r="H91" s="1">
        <v>4.5999999999999996</v>
      </c>
      <c r="I91" s="1">
        <v>100</v>
      </c>
      <c r="J91" s="1" t="s">
        <v>19</v>
      </c>
      <c r="K91" s="1" t="s">
        <v>20</v>
      </c>
      <c r="L91" t="s">
        <v>21</v>
      </c>
      <c r="M91" s="1" t="s">
        <v>19</v>
      </c>
      <c r="N91" s="1">
        <v>1.5</v>
      </c>
      <c r="O91" s="1" t="s">
        <v>51</v>
      </c>
    </row>
    <row r="92" spans="1:15" x14ac:dyDescent="0.3">
      <c r="A92" t="s">
        <v>15</v>
      </c>
      <c r="B92" s="1" t="s">
        <v>181</v>
      </c>
      <c r="C92" s="1" t="s">
        <v>182</v>
      </c>
      <c r="D92" s="1" t="s">
        <v>205</v>
      </c>
      <c r="E92" s="1" t="s">
        <v>43</v>
      </c>
      <c r="F92" s="1">
        <v>1726</v>
      </c>
      <c r="G92" s="1">
        <v>1.5</v>
      </c>
      <c r="H92" s="1">
        <v>4.5</v>
      </c>
      <c r="I92" s="1">
        <v>35</v>
      </c>
      <c r="J92" s="1" t="s">
        <v>19</v>
      </c>
      <c r="K92" s="1" t="s">
        <v>20</v>
      </c>
      <c r="L92" t="s">
        <v>21</v>
      </c>
      <c r="M92" s="1" t="s">
        <v>19</v>
      </c>
      <c r="N92" s="1">
        <v>0.3</v>
      </c>
      <c r="O92" s="1" t="s">
        <v>51</v>
      </c>
    </row>
    <row r="93" spans="1:15" x14ac:dyDescent="0.3">
      <c r="A93" t="s">
        <v>15</v>
      </c>
      <c r="B93" s="1" t="s">
        <v>181</v>
      </c>
      <c r="C93" s="1" t="s">
        <v>184</v>
      </c>
      <c r="D93" s="1" t="s">
        <v>206</v>
      </c>
      <c r="E93" s="1" t="s">
        <v>106</v>
      </c>
      <c r="F93" s="1">
        <v>1362</v>
      </c>
      <c r="G93" s="1">
        <v>1</v>
      </c>
      <c r="H93" s="1">
        <v>4.5999999999999996</v>
      </c>
      <c r="I93" s="1">
        <v>0</v>
      </c>
      <c r="J93" s="1" t="s">
        <v>19</v>
      </c>
      <c r="K93" s="1" t="s">
        <v>20</v>
      </c>
      <c r="L93" t="s">
        <v>94</v>
      </c>
      <c r="M93" s="1" t="s">
        <v>19</v>
      </c>
      <c r="N93" s="1">
        <v>0.5</v>
      </c>
      <c r="O93" s="1" t="s">
        <v>51</v>
      </c>
    </row>
    <row r="94" spans="1:15" x14ac:dyDescent="0.3">
      <c r="A94" t="s">
        <v>15</v>
      </c>
      <c r="B94" s="1" t="s">
        <v>207</v>
      </c>
      <c r="C94" s="1" t="s">
        <v>208</v>
      </c>
      <c r="D94" s="1" t="s">
        <v>209</v>
      </c>
      <c r="E94" s="1" t="s">
        <v>210</v>
      </c>
      <c r="F94" s="1">
        <v>1604</v>
      </c>
      <c r="G94" s="1">
        <v>1.5</v>
      </c>
      <c r="H94" s="1">
        <v>4.9000000000000004</v>
      </c>
      <c r="I94" s="1">
        <v>0</v>
      </c>
      <c r="J94" s="1" t="s">
        <v>19</v>
      </c>
      <c r="K94" s="1" t="s">
        <v>20</v>
      </c>
      <c r="L94" t="s">
        <v>211</v>
      </c>
      <c r="M94" s="1" t="s">
        <v>19</v>
      </c>
      <c r="N94" s="1">
        <v>1.9</v>
      </c>
      <c r="O94" s="1" t="s">
        <v>51</v>
      </c>
    </row>
    <row r="95" spans="1:15" x14ac:dyDescent="0.3">
      <c r="A95" t="s">
        <v>15</v>
      </c>
      <c r="B95" s="1" t="s">
        <v>207</v>
      </c>
      <c r="C95" s="1" t="s">
        <v>208</v>
      </c>
      <c r="D95" s="1" t="s">
        <v>212</v>
      </c>
      <c r="E95" s="1" t="s">
        <v>213</v>
      </c>
      <c r="F95" s="1">
        <v>1951</v>
      </c>
      <c r="G95" s="1">
        <v>1</v>
      </c>
      <c r="H95" s="1">
        <v>4.8</v>
      </c>
      <c r="I95" s="1">
        <v>0</v>
      </c>
      <c r="J95" s="1" t="s">
        <v>19</v>
      </c>
      <c r="K95" s="1" t="s">
        <v>20</v>
      </c>
      <c r="L95" t="s">
        <v>21</v>
      </c>
      <c r="M95" s="1" t="s">
        <v>19</v>
      </c>
      <c r="N95" s="1">
        <v>0.3</v>
      </c>
      <c r="O95" s="1" t="s">
        <v>25</v>
      </c>
    </row>
    <row r="96" spans="1:15" x14ac:dyDescent="0.3">
      <c r="A96" t="s">
        <v>15</v>
      </c>
      <c r="B96" s="1" t="s">
        <v>207</v>
      </c>
      <c r="C96" s="1" t="s">
        <v>208</v>
      </c>
      <c r="D96" s="1" t="s">
        <v>214</v>
      </c>
      <c r="E96" s="1" t="s">
        <v>215</v>
      </c>
      <c r="F96" s="1">
        <v>1950</v>
      </c>
      <c r="G96" s="1">
        <v>2</v>
      </c>
      <c r="H96" s="1">
        <v>4.8</v>
      </c>
      <c r="I96" s="1">
        <v>0</v>
      </c>
      <c r="J96" s="1" t="s">
        <v>19</v>
      </c>
      <c r="K96" s="1" t="s">
        <v>20</v>
      </c>
      <c r="L96" t="s">
        <v>169</v>
      </c>
      <c r="M96" s="1" t="s">
        <v>19</v>
      </c>
      <c r="N96" s="1">
        <v>0.17</v>
      </c>
      <c r="O96" s="1" t="s">
        <v>22</v>
      </c>
    </row>
    <row r="97" spans="1:15" x14ac:dyDescent="0.3">
      <c r="A97" t="s">
        <v>15</v>
      </c>
      <c r="B97" s="1" t="s">
        <v>207</v>
      </c>
      <c r="C97" s="1" t="s">
        <v>216</v>
      </c>
      <c r="D97" s="1" t="s">
        <v>217</v>
      </c>
      <c r="E97" s="1" t="s">
        <v>218</v>
      </c>
      <c r="F97" s="1">
        <v>1976</v>
      </c>
      <c r="G97" s="1">
        <v>2</v>
      </c>
      <c r="H97" s="1">
        <v>4.5</v>
      </c>
      <c r="I97" s="1">
        <v>30</v>
      </c>
      <c r="J97" s="1" t="s">
        <v>19</v>
      </c>
      <c r="K97" s="1" t="s">
        <v>20</v>
      </c>
      <c r="L97" t="s">
        <v>54</v>
      </c>
      <c r="M97" s="1" t="s">
        <v>19</v>
      </c>
      <c r="N97" s="1">
        <v>0.5</v>
      </c>
      <c r="O97" s="1" t="s">
        <v>51</v>
      </c>
    </row>
    <row r="98" spans="1:15" x14ac:dyDescent="0.3">
      <c r="A98" t="s">
        <v>87</v>
      </c>
      <c r="B98" s="1" t="s">
        <v>219</v>
      </c>
      <c r="C98" s="1" t="s">
        <v>220</v>
      </c>
      <c r="D98" s="1" t="s">
        <v>221</v>
      </c>
      <c r="E98" s="1" t="s">
        <v>79</v>
      </c>
      <c r="F98" s="1" t="s">
        <v>67</v>
      </c>
      <c r="G98" s="1">
        <v>1.5</v>
      </c>
      <c r="H98" s="1">
        <v>4.5</v>
      </c>
      <c r="I98" s="1">
        <v>0</v>
      </c>
      <c r="J98" s="1" t="s">
        <v>19</v>
      </c>
      <c r="K98" s="1" t="s">
        <v>20</v>
      </c>
      <c r="L98" t="s">
        <v>80</v>
      </c>
      <c r="M98" s="1" t="s">
        <v>19</v>
      </c>
      <c r="N98" s="1">
        <v>0.11</v>
      </c>
      <c r="O98" s="1" t="s">
        <v>51</v>
      </c>
    </row>
    <row r="99" spans="1:15" x14ac:dyDescent="0.3">
      <c r="A99" t="s">
        <v>87</v>
      </c>
      <c r="B99" s="1" t="s">
        <v>219</v>
      </c>
      <c r="C99" s="1" t="s">
        <v>222</v>
      </c>
      <c r="D99" s="1" t="s">
        <v>223</v>
      </c>
      <c r="E99" s="1" t="s">
        <v>224</v>
      </c>
      <c r="F99" s="1" t="s">
        <v>67</v>
      </c>
      <c r="G99" s="1">
        <v>2</v>
      </c>
      <c r="H99" s="1">
        <v>4.3</v>
      </c>
      <c r="I99" s="1">
        <v>0</v>
      </c>
      <c r="J99" s="1" t="s">
        <v>29</v>
      </c>
      <c r="K99" s="1" t="s">
        <v>20</v>
      </c>
      <c r="L99" t="s">
        <v>94</v>
      </c>
      <c r="M99" s="1" t="s">
        <v>19</v>
      </c>
      <c r="N99" s="1">
        <v>0.3</v>
      </c>
      <c r="O99" s="1" t="s">
        <v>51</v>
      </c>
    </row>
    <row r="100" spans="1:15" x14ac:dyDescent="0.3">
      <c r="A100" t="s">
        <v>87</v>
      </c>
      <c r="B100" s="1" t="s">
        <v>219</v>
      </c>
      <c r="C100" s="1" t="s">
        <v>225</v>
      </c>
      <c r="D100" s="1" t="s">
        <v>226</v>
      </c>
      <c r="E100" s="1" t="s">
        <v>134</v>
      </c>
      <c r="F100" s="1">
        <v>1503</v>
      </c>
      <c r="G100" s="1">
        <v>1</v>
      </c>
      <c r="H100" s="1">
        <v>4.4000000000000004</v>
      </c>
      <c r="I100" s="1">
        <v>0</v>
      </c>
      <c r="J100" s="1" t="s">
        <v>19</v>
      </c>
      <c r="K100" s="1" t="s">
        <v>20</v>
      </c>
      <c r="L100" t="s">
        <v>21</v>
      </c>
      <c r="M100" s="1" t="s">
        <v>19</v>
      </c>
      <c r="N100" s="1">
        <v>0.1</v>
      </c>
      <c r="O100" s="1" t="s">
        <v>51</v>
      </c>
    </row>
    <row r="101" spans="1:15" x14ac:dyDescent="0.3">
      <c r="A101" t="s">
        <v>87</v>
      </c>
      <c r="B101" s="1" t="s">
        <v>219</v>
      </c>
      <c r="C101" s="1" t="s">
        <v>227</v>
      </c>
      <c r="D101" s="1" t="s">
        <v>228</v>
      </c>
      <c r="E101" s="1" t="s">
        <v>27</v>
      </c>
      <c r="F101" s="1" t="s">
        <v>67</v>
      </c>
      <c r="G101" s="1">
        <v>1</v>
      </c>
      <c r="H101" s="1">
        <v>4.7</v>
      </c>
      <c r="I101" s="1">
        <v>0</v>
      </c>
      <c r="J101" s="1" t="s">
        <v>19</v>
      </c>
      <c r="K101" s="1" t="s">
        <v>20</v>
      </c>
      <c r="L101" t="s">
        <v>28</v>
      </c>
      <c r="M101" s="1" t="s">
        <v>29</v>
      </c>
      <c r="N101" s="1">
        <v>0.46</v>
      </c>
      <c r="O101" s="1" t="s">
        <v>51</v>
      </c>
    </row>
    <row r="102" spans="1:15" x14ac:dyDescent="0.3">
      <c r="A102" t="s">
        <v>87</v>
      </c>
      <c r="B102" s="1" t="s">
        <v>219</v>
      </c>
      <c r="C102" s="1" t="s">
        <v>229</v>
      </c>
      <c r="D102" s="1" t="s">
        <v>230</v>
      </c>
      <c r="E102" s="1" t="s">
        <v>79</v>
      </c>
      <c r="F102" s="1" t="s">
        <v>67</v>
      </c>
      <c r="G102" s="1">
        <v>1.5</v>
      </c>
      <c r="H102" s="1">
        <v>3.9</v>
      </c>
      <c r="I102" s="1">
        <v>0</v>
      </c>
      <c r="J102" s="1" t="s">
        <v>19</v>
      </c>
      <c r="K102" s="1" t="s">
        <v>20</v>
      </c>
      <c r="L102" t="s">
        <v>80</v>
      </c>
      <c r="M102" s="1" t="s">
        <v>19</v>
      </c>
      <c r="N102" s="1">
        <v>5.8999999999999997E-2</v>
      </c>
      <c r="O102" s="1" t="s">
        <v>51</v>
      </c>
    </row>
    <row r="103" spans="1:15" x14ac:dyDescent="0.3">
      <c r="A103" t="s">
        <v>87</v>
      </c>
      <c r="B103" s="1" t="s">
        <v>219</v>
      </c>
      <c r="C103" s="1" t="s">
        <v>231</v>
      </c>
      <c r="D103" s="1" t="s">
        <v>232</v>
      </c>
      <c r="E103" s="1" t="s">
        <v>190</v>
      </c>
      <c r="F103" s="1" t="s">
        <v>67</v>
      </c>
      <c r="G103" s="1">
        <v>3</v>
      </c>
      <c r="H103" s="1">
        <v>4.5</v>
      </c>
      <c r="I103" s="1">
        <v>300</v>
      </c>
      <c r="J103" s="1" t="s">
        <v>29</v>
      </c>
      <c r="K103" s="1" t="s">
        <v>20</v>
      </c>
      <c r="L103" t="s">
        <v>73</v>
      </c>
      <c r="M103" s="1" t="s">
        <v>19</v>
      </c>
      <c r="N103" s="1">
        <v>2.2000000000000002</v>
      </c>
      <c r="O103" s="1" t="s">
        <v>51</v>
      </c>
    </row>
    <row r="104" spans="1:15" x14ac:dyDescent="0.3">
      <c r="A104" t="s">
        <v>87</v>
      </c>
      <c r="B104" s="1" t="s">
        <v>219</v>
      </c>
      <c r="C104" s="1" t="s">
        <v>233</v>
      </c>
      <c r="D104" s="1" t="s">
        <v>234</v>
      </c>
      <c r="E104" s="1" t="s">
        <v>72</v>
      </c>
      <c r="F104" s="1">
        <v>1982</v>
      </c>
      <c r="G104" s="1">
        <v>3</v>
      </c>
      <c r="H104" s="1">
        <v>4.3</v>
      </c>
      <c r="I104" s="1">
        <v>50</v>
      </c>
      <c r="J104" s="1" t="s">
        <v>29</v>
      </c>
      <c r="K104" s="1" t="s">
        <v>20</v>
      </c>
      <c r="L104" t="s">
        <v>73</v>
      </c>
      <c r="M104" s="1" t="s">
        <v>19</v>
      </c>
      <c r="N104" s="1">
        <v>0.14000000000000001</v>
      </c>
      <c r="O104" s="1" t="s">
        <v>51</v>
      </c>
    </row>
    <row r="105" spans="1:15" x14ac:dyDescent="0.3">
      <c r="A105" t="s">
        <v>87</v>
      </c>
      <c r="B105" s="1" t="s">
        <v>219</v>
      </c>
      <c r="C105" s="1" t="s">
        <v>235</v>
      </c>
      <c r="D105" s="1" t="s">
        <v>236</v>
      </c>
      <c r="E105" s="1" t="s">
        <v>153</v>
      </c>
      <c r="F105" s="1">
        <v>1972</v>
      </c>
      <c r="G105" s="1">
        <v>2</v>
      </c>
      <c r="H105" s="1">
        <v>3.8</v>
      </c>
      <c r="I105" s="1">
        <v>50</v>
      </c>
      <c r="J105" s="1" t="s">
        <v>19</v>
      </c>
      <c r="K105" s="1" t="s">
        <v>20</v>
      </c>
      <c r="L105" t="s">
        <v>73</v>
      </c>
      <c r="M105" s="1" t="s">
        <v>19</v>
      </c>
      <c r="N105" s="1">
        <v>0.1</v>
      </c>
      <c r="O105" s="1" t="s">
        <v>51</v>
      </c>
    </row>
    <row r="106" spans="1:15" x14ac:dyDescent="0.3">
      <c r="A106" t="s">
        <v>87</v>
      </c>
      <c r="B106" s="1" t="s">
        <v>219</v>
      </c>
      <c r="C106" s="1" t="s">
        <v>237</v>
      </c>
      <c r="D106" s="1" t="s">
        <v>238</v>
      </c>
      <c r="E106" s="1" t="s">
        <v>79</v>
      </c>
      <c r="F106" s="1" t="s">
        <v>67</v>
      </c>
      <c r="G106" s="1">
        <v>2</v>
      </c>
      <c r="H106" s="1">
        <v>4.5999999999999996</v>
      </c>
      <c r="I106" s="1">
        <v>0</v>
      </c>
      <c r="J106" s="1" t="s">
        <v>19</v>
      </c>
      <c r="K106" s="1" t="s">
        <v>20</v>
      </c>
      <c r="L106" t="s">
        <v>80</v>
      </c>
      <c r="M106" s="1" t="s">
        <v>19</v>
      </c>
      <c r="N106" s="1">
        <v>0.1</v>
      </c>
      <c r="O106" s="1" t="s">
        <v>51</v>
      </c>
    </row>
    <row r="107" spans="1:15" x14ac:dyDescent="0.3">
      <c r="A107" t="s">
        <v>87</v>
      </c>
      <c r="B107" s="1" t="s">
        <v>219</v>
      </c>
      <c r="C107" s="1" t="s">
        <v>239</v>
      </c>
      <c r="D107" s="1" t="s">
        <v>240</v>
      </c>
      <c r="E107" s="1" t="s">
        <v>43</v>
      </c>
      <c r="F107" s="1">
        <v>1650</v>
      </c>
      <c r="G107" s="1">
        <v>1.5</v>
      </c>
      <c r="H107" s="1">
        <v>4.5</v>
      </c>
      <c r="I107" s="1">
        <v>20</v>
      </c>
      <c r="J107" s="1" t="s">
        <v>29</v>
      </c>
      <c r="K107" s="1" t="s">
        <v>20</v>
      </c>
      <c r="L107" t="s">
        <v>21</v>
      </c>
      <c r="M107" s="1" t="s">
        <v>19</v>
      </c>
      <c r="N107" s="1">
        <v>0.22</v>
      </c>
      <c r="O107" s="1" t="s">
        <v>51</v>
      </c>
    </row>
    <row r="108" spans="1:15" x14ac:dyDescent="0.3">
      <c r="A108" t="s">
        <v>87</v>
      </c>
      <c r="B108" s="1" t="s">
        <v>219</v>
      </c>
      <c r="C108" s="1" t="s">
        <v>241</v>
      </c>
      <c r="D108" s="1" t="s">
        <v>242</v>
      </c>
      <c r="E108" s="1" t="s">
        <v>79</v>
      </c>
      <c r="F108" s="1" t="s">
        <v>67</v>
      </c>
      <c r="G108" s="1">
        <v>2</v>
      </c>
      <c r="H108" s="1">
        <v>4.4000000000000004</v>
      </c>
      <c r="I108" s="1">
        <v>0</v>
      </c>
      <c r="J108" s="1" t="s">
        <v>19</v>
      </c>
      <c r="K108" s="1" t="s">
        <v>20</v>
      </c>
      <c r="L108" t="s">
        <v>80</v>
      </c>
      <c r="M108" s="1" t="s">
        <v>19</v>
      </c>
      <c r="N108" s="1">
        <v>0.68</v>
      </c>
      <c r="O108" s="1" t="s">
        <v>51</v>
      </c>
    </row>
    <row r="109" spans="1:15" x14ac:dyDescent="0.3">
      <c r="A109" t="s">
        <v>87</v>
      </c>
      <c r="B109" s="1" t="s">
        <v>219</v>
      </c>
      <c r="C109" s="1" t="s">
        <v>243</v>
      </c>
      <c r="D109" s="1" t="s">
        <v>244</v>
      </c>
      <c r="E109" s="1" t="s">
        <v>43</v>
      </c>
      <c r="F109" s="1">
        <v>1505</v>
      </c>
      <c r="G109" s="1">
        <v>1</v>
      </c>
      <c r="H109" s="1">
        <v>4.4000000000000004</v>
      </c>
      <c r="I109" s="1">
        <v>20</v>
      </c>
      <c r="J109" s="1" t="s">
        <v>19</v>
      </c>
      <c r="K109" s="1" t="s">
        <v>20</v>
      </c>
      <c r="L109" t="s">
        <v>21</v>
      </c>
      <c r="M109" s="1" t="s">
        <v>19</v>
      </c>
      <c r="N109" s="1">
        <v>0.11</v>
      </c>
      <c r="O109" s="1" t="s">
        <v>51</v>
      </c>
    </row>
    <row r="110" spans="1:15" x14ac:dyDescent="0.3">
      <c r="A110" t="s">
        <v>87</v>
      </c>
      <c r="B110" s="1" t="s">
        <v>219</v>
      </c>
      <c r="C110" s="1" t="s">
        <v>245</v>
      </c>
      <c r="D110" s="1" t="s">
        <v>246</v>
      </c>
      <c r="E110" s="1" t="s">
        <v>247</v>
      </c>
      <c r="F110" s="1" t="s">
        <v>67</v>
      </c>
      <c r="G110" s="1">
        <v>1</v>
      </c>
      <c r="H110" s="1">
        <v>4.5</v>
      </c>
      <c r="I110" s="1">
        <v>0</v>
      </c>
      <c r="J110" s="1" t="s">
        <v>29</v>
      </c>
      <c r="K110" s="1" t="s">
        <v>20</v>
      </c>
      <c r="L110" t="s">
        <v>94</v>
      </c>
      <c r="M110" s="1" t="s">
        <v>19</v>
      </c>
      <c r="N110" s="1">
        <v>0.03</v>
      </c>
      <c r="O110" s="1" t="s">
        <v>37</v>
      </c>
    </row>
    <row r="111" spans="1:15" x14ac:dyDescent="0.3">
      <c r="A111" t="s">
        <v>87</v>
      </c>
      <c r="B111" s="1" t="s">
        <v>219</v>
      </c>
      <c r="C111" s="1" t="s">
        <v>225</v>
      </c>
      <c r="D111" s="1" t="s">
        <v>248</v>
      </c>
      <c r="E111" s="1" t="s">
        <v>169</v>
      </c>
      <c r="F111" s="1">
        <v>2009</v>
      </c>
      <c r="G111" s="1">
        <v>1.5</v>
      </c>
      <c r="H111" s="1">
        <v>4.4000000000000004</v>
      </c>
      <c r="I111" s="1">
        <v>100</v>
      </c>
      <c r="J111" s="1" t="s">
        <v>19</v>
      </c>
      <c r="K111" s="1" t="s">
        <v>32</v>
      </c>
      <c r="L111" t="s">
        <v>169</v>
      </c>
      <c r="M111" s="1" t="s">
        <v>19</v>
      </c>
      <c r="N111" s="1">
        <v>0.1</v>
      </c>
      <c r="O111" s="1" t="s">
        <v>51</v>
      </c>
    </row>
    <row r="112" spans="1:15" x14ac:dyDescent="0.3">
      <c r="A112" t="s">
        <v>87</v>
      </c>
      <c r="B112" s="1" t="s">
        <v>219</v>
      </c>
      <c r="C112" s="1" t="s">
        <v>225</v>
      </c>
      <c r="D112" s="1" t="s">
        <v>249</v>
      </c>
      <c r="E112" s="1" t="s">
        <v>82</v>
      </c>
      <c r="F112" s="1">
        <v>2016</v>
      </c>
      <c r="G112" s="1">
        <v>5.5</v>
      </c>
      <c r="H112" s="1">
        <v>4.5999999999999996</v>
      </c>
      <c r="I112" s="1">
        <v>750</v>
      </c>
      <c r="J112" s="1" t="s">
        <v>19</v>
      </c>
      <c r="K112" s="1" t="s">
        <v>20</v>
      </c>
      <c r="L112" t="s">
        <v>109</v>
      </c>
      <c r="M112" s="1" t="s">
        <v>19</v>
      </c>
      <c r="N112" s="1">
        <v>0.41</v>
      </c>
      <c r="O112" s="1" t="s">
        <v>51</v>
      </c>
    </row>
    <row r="113" spans="1:15" x14ac:dyDescent="0.3">
      <c r="A113" t="s">
        <v>87</v>
      </c>
      <c r="B113" s="1" t="s">
        <v>88</v>
      </c>
      <c r="C113" s="1" t="s">
        <v>250</v>
      </c>
      <c r="D113" s="1" t="s">
        <v>251</v>
      </c>
      <c r="E113" s="1" t="s">
        <v>91</v>
      </c>
      <c r="F113" s="1">
        <v>1912</v>
      </c>
      <c r="G113" s="1">
        <v>2</v>
      </c>
      <c r="H113" s="1">
        <v>4.5999999999999996</v>
      </c>
      <c r="I113" s="1">
        <v>50</v>
      </c>
      <c r="J113" s="1" t="s">
        <v>19</v>
      </c>
      <c r="K113" s="1" t="s">
        <v>20</v>
      </c>
      <c r="L113" t="s">
        <v>21</v>
      </c>
      <c r="M113" s="1" t="s">
        <v>19</v>
      </c>
      <c r="N113" s="1">
        <v>2.5</v>
      </c>
      <c r="O113" s="1" t="s">
        <v>51</v>
      </c>
    </row>
    <row r="114" spans="1:15" x14ac:dyDescent="0.3">
      <c r="A114" t="s">
        <v>87</v>
      </c>
      <c r="B114" s="1" t="s">
        <v>88</v>
      </c>
      <c r="C114" s="1" t="s">
        <v>252</v>
      </c>
      <c r="D114" s="1" t="s">
        <v>253</v>
      </c>
      <c r="E114" s="1" t="s">
        <v>134</v>
      </c>
      <c r="F114" s="1" t="s">
        <v>67</v>
      </c>
      <c r="G114" s="1">
        <v>3</v>
      </c>
      <c r="H114" s="1">
        <v>4.7</v>
      </c>
      <c r="I114" s="1">
        <v>0</v>
      </c>
      <c r="J114" s="1" t="s">
        <v>29</v>
      </c>
      <c r="K114" s="1" t="s">
        <v>20</v>
      </c>
      <c r="L114" t="s">
        <v>21</v>
      </c>
      <c r="M114" s="1" t="s">
        <v>19</v>
      </c>
      <c r="N114" s="1">
        <v>0.05</v>
      </c>
      <c r="O114" s="1" t="s">
        <v>51</v>
      </c>
    </row>
    <row r="115" spans="1:15" x14ac:dyDescent="0.3">
      <c r="A115" t="s">
        <v>87</v>
      </c>
      <c r="B115" s="1" t="s">
        <v>88</v>
      </c>
      <c r="C115" s="1" t="s">
        <v>254</v>
      </c>
      <c r="D115" s="1" t="s">
        <v>255</v>
      </c>
      <c r="E115" s="1" t="s">
        <v>142</v>
      </c>
      <c r="F115" s="1" t="s">
        <v>67</v>
      </c>
      <c r="G115" s="1">
        <v>1</v>
      </c>
      <c r="H115" s="1">
        <v>4.0999999999999996</v>
      </c>
      <c r="I115" s="1">
        <v>0</v>
      </c>
      <c r="J115" s="1" t="s">
        <v>29</v>
      </c>
      <c r="K115" s="1" t="s">
        <v>20</v>
      </c>
      <c r="L115" t="s">
        <v>94</v>
      </c>
      <c r="M115" s="1" t="s">
        <v>19</v>
      </c>
      <c r="N115" s="1">
        <v>0.03</v>
      </c>
      <c r="O115" s="1" t="s">
        <v>37</v>
      </c>
    </row>
    <row r="116" spans="1:15" x14ac:dyDescent="0.3">
      <c r="A116" t="s">
        <v>87</v>
      </c>
      <c r="B116" s="1" t="s">
        <v>88</v>
      </c>
      <c r="C116" s="1" t="s">
        <v>256</v>
      </c>
      <c r="D116" s="1" t="s">
        <v>257</v>
      </c>
      <c r="E116" s="1" t="s">
        <v>79</v>
      </c>
      <c r="F116" s="1" t="s">
        <v>67</v>
      </c>
      <c r="G116" s="1">
        <v>2</v>
      </c>
      <c r="H116" s="1">
        <v>4.5</v>
      </c>
      <c r="I116" s="1">
        <v>0</v>
      </c>
      <c r="J116" s="1" t="s">
        <v>29</v>
      </c>
      <c r="K116" s="1" t="s">
        <v>20</v>
      </c>
      <c r="L116" t="s">
        <v>94</v>
      </c>
      <c r="M116" s="1" t="s">
        <v>19</v>
      </c>
      <c r="N116" s="1">
        <v>0.09</v>
      </c>
      <c r="O116" s="1" t="s">
        <v>51</v>
      </c>
    </row>
    <row r="117" spans="1:15" x14ac:dyDescent="0.3">
      <c r="A117" t="s">
        <v>87</v>
      </c>
      <c r="B117" s="1" t="s">
        <v>88</v>
      </c>
      <c r="C117" s="1" t="s">
        <v>258</v>
      </c>
      <c r="D117" s="1" t="s">
        <v>259</v>
      </c>
      <c r="E117" s="1" t="s">
        <v>260</v>
      </c>
      <c r="F117" s="1" t="s">
        <v>67</v>
      </c>
      <c r="G117" s="1">
        <v>3</v>
      </c>
      <c r="H117" s="1">
        <v>4.5</v>
      </c>
      <c r="I117" s="1">
        <v>0</v>
      </c>
      <c r="J117" s="1" t="s">
        <v>29</v>
      </c>
      <c r="K117" s="1" t="s">
        <v>20</v>
      </c>
      <c r="L117" t="s">
        <v>94</v>
      </c>
      <c r="M117" s="1" t="s">
        <v>19</v>
      </c>
      <c r="N117" s="1">
        <v>0.05</v>
      </c>
      <c r="O117" s="1" t="s">
        <v>51</v>
      </c>
    </row>
    <row r="118" spans="1:15" x14ac:dyDescent="0.3">
      <c r="A118" t="s">
        <v>87</v>
      </c>
      <c r="B118" s="1" t="s">
        <v>88</v>
      </c>
      <c r="C118" s="1" t="s">
        <v>261</v>
      </c>
      <c r="D118" s="1" t="s">
        <v>262</v>
      </c>
      <c r="E118" s="1" t="s">
        <v>263</v>
      </c>
      <c r="F118" s="1">
        <v>600</v>
      </c>
      <c r="G118" s="1">
        <v>1.5</v>
      </c>
      <c r="H118" s="1">
        <v>4.5999999999999996</v>
      </c>
      <c r="I118" s="1">
        <v>30</v>
      </c>
      <c r="J118" s="1" t="s">
        <v>29</v>
      </c>
      <c r="K118" s="1" t="s">
        <v>20</v>
      </c>
      <c r="L118" t="s">
        <v>28</v>
      </c>
      <c r="M118" s="1" t="s">
        <v>29</v>
      </c>
      <c r="N118" s="1">
        <v>0.2</v>
      </c>
      <c r="O118" s="1" t="s">
        <v>51</v>
      </c>
    </row>
    <row r="119" spans="1:15" x14ac:dyDescent="0.3">
      <c r="A119" t="s">
        <v>87</v>
      </c>
      <c r="B119" s="1" t="s">
        <v>88</v>
      </c>
      <c r="C119" s="1" t="s">
        <v>264</v>
      </c>
      <c r="D119" s="1" t="s">
        <v>265</v>
      </c>
      <c r="E119" s="1" t="s">
        <v>142</v>
      </c>
      <c r="F119" s="1">
        <v>1900</v>
      </c>
      <c r="G119" s="1">
        <v>1.5</v>
      </c>
      <c r="H119" s="1">
        <v>4.5999999999999996</v>
      </c>
      <c r="I119" s="1">
        <v>30</v>
      </c>
      <c r="J119" s="1" t="s">
        <v>29</v>
      </c>
      <c r="K119" s="1" t="s">
        <v>20</v>
      </c>
      <c r="L119" t="s">
        <v>94</v>
      </c>
      <c r="M119" s="1" t="s">
        <v>19</v>
      </c>
      <c r="N119" s="1">
        <v>0.23</v>
      </c>
      <c r="O119" s="1" t="s">
        <v>37</v>
      </c>
    </row>
    <row r="120" spans="1:15" x14ac:dyDescent="0.3">
      <c r="A120" t="s">
        <v>87</v>
      </c>
      <c r="B120" s="1" t="s">
        <v>88</v>
      </c>
      <c r="C120" s="1" t="s">
        <v>266</v>
      </c>
      <c r="D120" s="1" t="s">
        <v>267</v>
      </c>
      <c r="E120" s="1" t="s">
        <v>79</v>
      </c>
      <c r="F120" s="1" t="s">
        <v>67</v>
      </c>
      <c r="G120" s="1">
        <v>1.5</v>
      </c>
      <c r="H120" s="1">
        <v>4.5</v>
      </c>
      <c r="I120" s="1">
        <v>0</v>
      </c>
      <c r="J120" s="1" t="s">
        <v>19</v>
      </c>
      <c r="K120" s="1" t="s">
        <v>20</v>
      </c>
      <c r="L120" t="s">
        <v>80</v>
      </c>
      <c r="M120" s="1" t="s">
        <v>19</v>
      </c>
      <c r="N120" s="1">
        <v>0.1</v>
      </c>
      <c r="O120" s="1" t="s">
        <v>51</v>
      </c>
    </row>
    <row r="121" spans="1:15" x14ac:dyDescent="0.3">
      <c r="A121" t="s">
        <v>87</v>
      </c>
      <c r="B121" s="1" t="s">
        <v>88</v>
      </c>
      <c r="C121" s="1" t="s">
        <v>268</v>
      </c>
      <c r="D121" s="1" t="s">
        <v>269</v>
      </c>
      <c r="E121" s="1" t="s">
        <v>27</v>
      </c>
      <c r="F121" s="1" t="s">
        <v>67</v>
      </c>
      <c r="G121" s="1">
        <v>1</v>
      </c>
      <c r="H121" s="1">
        <v>4.7</v>
      </c>
      <c r="I121" s="1">
        <v>0</v>
      </c>
      <c r="J121" s="1" t="s">
        <v>19</v>
      </c>
      <c r="K121" s="1" t="s">
        <v>20</v>
      </c>
      <c r="L121" t="s">
        <v>28</v>
      </c>
      <c r="M121" s="1" t="s">
        <v>29</v>
      </c>
      <c r="N121" s="1">
        <v>0.49</v>
      </c>
      <c r="O121" s="1" t="s">
        <v>51</v>
      </c>
    </row>
    <row r="122" spans="1:15" x14ac:dyDescent="0.3">
      <c r="A122" t="s">
        <v>87</v>
      </c>
      <c r="B122" s="1" t="s">
        <v>88</v>
      </c>
      <c r="C122" s="1" t="s">
        <v>270</v>
      </c>
      <c r="D122" s="1" t="s">
        <v>271</v>
      </c>
      <c r="E122" s="1" t="s">
        <v>272</v>
      </c>
      <c r="F122" s="1">
        <v>1656</v>
      </c>
      <c r="G122" s="1">
        <v>1.5</v>
      </c>
      <c r="H122" s="1">
        <v>4.5</v>
      </c>
      <c r="I122" s="1">
        <v>20</v>
      </c>
      <c r="J122" s="1" t="s">
        <v>29</v>
      </c>
      <c r="K122" s="1" t="s">
        <v>20</v>
      </c>
      <c r="L122" t="s">
        <v>21</v>
      </c>
      <c r="M122" s="1" t="s">
        <v>19</v>
      </c>
      <c r="N122" s="1">
        <v>0.25</v>
      </c>
      <c r="O122" s="1" t="s">
        <v>51</v>
      </c>
    </row>
    <row r="123" spans="1:15" x14ac:dyDescent="0.3">
      <c r="A123" t="s">
        <v>87</v>
      </c>
      <c r="B123" s="1" t="s">
        <v>88</v>
      </c>
      <c r="C123" s="1" t="s">
        <v>273</v>
      </c>
      <c r="D123" s="1" t="s">
        <v>274</v>
      </c>
      <c r="E123" s="1" t="s">
        <v>72</v>
      </c>
      <c r="F123" s="1">
        <v>1974</v>
      </c>
      <c r="G123" s="1">
        <v>3</v>
      </c>
      <c r="H123" s="1">
        <v>4.4000000000000004</v>
      </c>
      <c r="I123" s="1">
        <v>300</v>
      </c>
      <c r="J123" s="1" t="s">
        <v>29</v>
      </c>
      <c r="K123" s="1" t="s">
        <v>20</v>
      </c>
      <c r="L123" t="s">
        <v>73</v>
      </c>
      <c r="M123" s="1" t="s">
        <v>19</v>
      </c>
      <c r="N123" s="1">
        <v>0.15</v>
      </c>
      <c r="O123" s="1" t="s">
        <v>37</v>
      </c>
    </row>
    <row r="124" spans="1:15" x14ac:dyDescent="0.3">
      <c r="A124" t="s">
        <v>87</v>
      </c>
      <c r="B124" s="1" t="s">
        <v>88</v>
      </c>
      <c r="C124" s="1" t="s">
        <v>275</v>
      </c>
      <c r="D124" s="1" t="s">
        <v>276</v>
      </c>
      <c r="E124" s="1" t="s">
        <v>27</v>
      </c>
      <c r="F124" s="1">
        <v>1121</v>
      </c>
      <c r="G124" s="1">
        <v>1</v>
      </c>
      <c r="H124" s="1">
        <v>4.7</v>
      </c>
      <c r="I124" s="1">
        <v>15</v>
      </c>
      <c r="J124" s="1" t="s">
        <v>29</v>
      </c>
      <c r="K124" s="1" t="s">
        <v>20</v>
      </c>
      <c r="L124" t="s">
        <v>28</v>
      </c>
      <c r="M124" s="1" t="s">
        <v>29</v>
      </c>
      <c r="N124" s="1">
        <v>0.11</v>
      </c>
      <c r="O124" s="1" t="s">
        <v>51</v>
      </c>
    </row>
    <row r="125" spans="1:15" x14ac:dyDescent="0.3">
      <c r="A125" t="s">
        <v>62</v>
      </c>
      <c r="B125" s="1" t="s">
        <v>63</v>
      </c>
      <c r="C125" s="1" t="s">
        <v>277</v>
      </c>
      <c r="D125" s="1" t="s">
        <v>278</v>
      </c>
      <c r="E125" s="1" t="s">
        <v>43</v>
      </c>
      <c r="F125" s="1">
        <v>1732</v>
      </c>
      <c r="G125" s="1">
        <v>2</v>
      </c>
      <c r="H125" s="1">
        <v>4.4000000000000004</v>
      </c>
      <c r="I125" s="1">
        <v>50</v>
      </c>
      <c r="J125" s="1" t="s">
        <v>19</v>
      </c>
      <c r="K125" s="1" t="s">
        <v>20</v>
      </c>
      <c r="L125" t="s">
        <v>21</v>
      </c>
      <c r="M125" s="1" t="s">
        <v>19</v>
      </c>
      <c r="N125" s="1">
        <v>1.2</v>
      </c>
      <c r="O125" s="1" t="s">
        <v>51</v>
      </c>
    </row>
    <row r="126" spans="1:15" x14ac:dyDescent="0.3">
      <c r="A126" t="s">
        <v>62</v>
      </c>
      <c r="B126" s="1" t="s">
        <v>63</v>
      </c>
      <c r="C126" s="1" t="s">
        <v>279</v>
      </c>
      <c r="D126" s="1" t="s">
        <v>280</v>
      </c>
      <c r="E126" s="1" t="s">
        <v>263</v>
      </c>
      <c r="F126" s="1">
        <v>200</v>
      </c>
      <c r="G126" s="1">
        <v>3</v>
      </c>
      <c r="H126" s="1">
        <v>4.5999999999999996</v>
      </c>
      <c r="I126" s="1">
        <v>30</v>
      </c>
      <c r="J126" s="1" t="s">
        <v>19</v>
      </c>
      <c r="K126" s="1" t="s">
        <v>32</v>
      </c>
      <c r="L126" t="s">
        <v>21</v>
      </c>
      <c r="M126" s="1" t="s">
        <v>19</v>
      </c>
      <c r="N126" s="1">
        <v>0.21</v>
      </c>
      <c r="O126" s="1" t="s">
        <v>25</v>
      </c>
    </row>
    <row r="127" spans="1:15" x14ac:dyDescent="0.3">
      <c r="A127" t="s">
        <v>62</v>
      </c>
      <c r="B127" s="1" t="s">
        <v>63</v>
      </c>
      <c r="C127" s="1" t="s">
        <v>281</v>
      </c>
      <c r="D127" s="1" t="s">
        <v>282</v>
      </c>
      <c r="E127" s="1" t="s">
        <v>283</v>
      </c>
      <c r="F127" s="1">
        <v>1999</v>
      </c>
      <c r="G127" s="1">
        <v>2</v>
      </c>
      <c r="H127" s="1">
        <v>4.0999999999999996</v>
      </c>
      <c r="I127" s="1">
        <v>300</v>
      </c>
      <c r="J127" s="1" t="s">
        <v>19</v>
      </c>
      <c r="K127" s="1" t="s">
        <v>20</v>
      </c>
      <c r="L127" t="s">
        <v>80</v>
      </c>
      <c r="M127" s="1" t="s">
        <v>19</v>
      </c>
      <c r="N127" s="1">
        <v>0.1</v>
      </c>
      <c r="O127" s="1" t="s">
        <v>25</v>
      </c>
    </row>
    <row r="128" spans="1:15" x14ac:dyDescent="0.3">
      <c r="A128" t="s">
        <v>62</v>
      </c>
      <c r="B128" s="1" t="s">
        <v>63</v>
      </c>
      <c r="C128" s="1" t="s">
        <v>284</v>
      </c>
      <c r="D128" s="1" t="s">
        <v>285</v>
      </c>
      <c r="E128" s="1" t="s">
        <v>27</v>
      </c>
      <c r="F128" s="1">
        <v>1922</v>
      </c>
      <c r="G128" s="1">
        <v>1.5</v>
      </c>
      <c r="H128" s="1">
        <v>4.7</v>
      </c>
      <c r="I128" s="1">
        <v>0</v>
      </c>
      <c r="J128" s="1" t="s">
        <v>19</v>
      </c>
      <c r="K128" s="1" t="s">
        <v>20</v>
      </c>
      <c r="L128" t="s">
        <v>28</v>
      </c>
      <c r="M128" s="1" t="s">
        <v>29</v>
      </c>
      <c r="N128" s="1">
        <v>0.69</v>
      </c>
      <c r="O128" s="1" t="s">
        <v>51</v>
      </c>
    </row>
    <row r="129" spans="1:15" x14ac:dyDescent="0.3">
      <c r="A129" t="s">
        <v>62</v>
      </c>
      <c r="B129" s="1" t="s">
        <v>63</v>
      </c>
      <c r="C129" s="1" t="s">
        <v>286</v>
      </c>
      <c r="D129" s="1" t="s">
        <v>287</v>
      </c>
      <c r="E129" s="1" t="s">
        <v>79</v>
      </c>
      <c r="F129" s="1" t="s">
        <v>67</v>
      </c>
      <c r="G129" s="1">
        <v>1.5</v>
      </c>
      <c r="H129" s="1">
        <v>4.2</v>
      </c>
      <c r="I129" s="1">
        <v>0</v>
      </c>
      <c r="J129" s="1" t="s">
        <v>19</v>
      </c>
      <c r="K129" s="1" t="s">
        <v>20</v>
      </c>
      <c r="L129" t="s">
        <v>80</v>
      </c>
      <c r="M129" s="1" t="s">
        <v>19</v>
      </c>
      <c r="N129" s="1">
        <v>0.05</v>
      </c>
      <c r="O129" s="1" t="s">
        <v>22</v>
      </c>
    </row>
    <row r="130" spans="1:15" x14ac:dyDescent="0.3">
      <c r="A130" t="s">
        <v>62</v>
      </c>
      <c r="B130" s="1" t="s">
        <v>63</v>
      </c>
      <c r="C130" s="1" t="s">
        <v>288</v>
      </c>
      <c r="D130" s="1" t="s">
        <v>289</v>
      </c>
      <c r="E130" s="1" t="s">
        <v>27</v>
      </c>
      <c r="F130" s="1">
        <v>1600</v>
      </c>
      <c r="G130" s="1">
        <v>1</v>
      </c>
      <c r="H130" s="1">
        <v>4.7</v>
      </c>
      <c r="I130" s="1">
        <v>0</v>
      </c>
      <c r="J130" s="1" t="s">
        <v>29</v>
      </c>
      <c r="K130" s="1" t="s">
        <v>20</v>
      </c>
      <c r="L130" t="s">
        <v>28</v>
      </c>
      <c r="M130" s="1" t="s">
        <v>29</v>
      </c>
      <c r="N130" s="1">
        <v>0.1</v>
      </c>
      <c r="O130" s="1" t="s">
        <v>51</v>
      </c>
    </row>
    <row r="131" spans="1:15" x14ac:dyDescent="0.3">
      <c r="A131" t="s">
        <v>62</v>
      </c>
      <c r="B131" s="1" t="s">
        <v>63</v>
      </c>
      <c r="C131" s="1" t="s">
        <v>290</v>
      </c>
      <c r="D131" s="1" t="s">
        <v>291</v>
      </c>
      <c r="E131" s="1" t="s">
        <v>59</v>
      </c>
      <c r="F131" s="1">
        <v>2001</v>
      </c>
      <c r="G131" s="1">
        <v>1</v>
      </c>
      <c r="H131" s="1">
        <v>4.5</v>
      </c>
      <c r="I131" s="1">
        <v>0</v>
      </c>
      <c r="J131" s="1" t="s">
        <v>19</v>
      </c>
      <c r="K131" s="1" t="s">
        <v>20</v>
      </c>
      <c r="L131" t="s">
        <v>28</v>
      </c>
      <c r="M131" s="1" t="s">
        <v>19</v>
      </c>
      <c r="N131" s="1">
        <v>0.11</v>
      </c>
      <c r="O131" s="1" t="s">
        <v>25</v>
      </c>
    </row>
    <row r="132" spans="1:15" x14ac:dyDescent="0.3">
      <c r="A132" t="s">
        <v>62</v>
      </c>
      <c r="B132" s="1" t="s">
        <v>63</v>
      </c>
      <c r="C132" s="1" t="s">
        <v>292</v>
      </c>
      <c r="D132" s="1" t="s">
        <v>293</v>
      </c>
      <c r="E132" s="1" t="s">
        <v>27</v>
      </c>
      <c r="F132" s="1">
        <v>700</v>
      </c>
      <c r="G132" s="1">
        <v>1</v>
      </c>
      <c r="H132" s="1">
        <v>4.8</v>
      </c>
      <c r="I132" s="1">
        <v>0</v>
      </c>
      <c r="J132" s="1" t="s">
        <v>19</v>
      </c>
      <c r="K132" s="1" t="s">
        <v>20</v>
      </c>
      <c r="L132" t="s">
        <v>28</v>
      </c>
      <c r="M132" s="1" t="s">
        <v>29</v>
      </c>
      <c r="N132" s="1">
        <v>0.9</v>
      </c>
      <c r="O132" s="1" t="s">
        <v>51</v>
      </c>
    </row>
    <row r="133" spans="1:15" x14ac:dyDescent="0.3">
      <c r="A133" t="s">
        <v>62</v>
      </c>
      <c r="B133" s="1" t="s">
        <v>63</v>
      </c>
      <c r="C133" s="1" t="s">
        <v>85</v>
      </c>
      <c r="D133" s="1" t="s">
        <v>294</v>
      </c>
      <c r="E133" s="1" t="s">
        <v>263</v>
      </c>
      <c r="F133" s="1">
        <v>200</v>
      </c>
      <c r="G133" s="1">
        <v>1.5</v>
      </c>
      <c r="H133" s="1">
        <v>4.4000000000000004</v>
      </c>
      <c r="I133" s="1">
        <v>25</v>
      </c>
      <c r="J133" s="1" t="s">
        <v>19</v>
      </c>
      <c r="K133" s="1" t="s">
        <v>19</v>
      </c>
      <c r="L133" t="s">
        <v>21</v>
      </c>
      <c r="M133" s="1" t="s">
        <v>19</v>
      </c>
      <c r="N133" s="1">
        <v>0.27</v>
      </c>
      <c r="O133" s="1" t="s">
        <v>25</v>
      </c>
    </row>
    <row r="134" spans="1:15" x14ac:dyDescent="0.3">
      <c r="A134" t="s">
        <v>62</v>
      </c>
      <c r="B134" s="1" t="s">
        <v>295</v>
      </c>
      <c r="C134" s="1" t="s">
        <v>296</v>
      </c>
      <c r="D134" s="1" t="s">
        <v>297</v>
      </c>
      <c r="E134" s="1" t="s">
        <v>79</v>
      </c>
      <c r="F134" s="1" t="s">
        <v>67</v>
      </c>
      <c r="G134" s="1">
        <v>2</v>
      </c>
      <c r="H134" s="1">
        <v>4.5999999999999996</v>
      </c>
      <c r="I134" s="1">
        <v>0</v>
      </c>
      <c r="J134" s="1" t="s">
        <v>29</v>
      </c>
      <c r="K134" s="1" t="s">
        <v>20</v>
      </c>
      <c r="L134" t="s">
        <v>80</v>
      </c>
      <c r="M134" s="1" t="s">
        <v>19</v>
      </c>
      <c r="N134" s="1">
        <v>6.5000000000000002E-2</v>
      </c>
      <c r="O134" s="1" t="s">
        <v>22</v>
      </c>
    </row>
    <row r="135" spans="1:15" x14ac:dyDescent="0.3">
      <c r="A135" t="s">
        <v>62</v>
      </c>
      <c r="B135" s="1" t="s">
        <v>295</v>
      </c>
      <c r="C135" s="1" t="s">
        <v>298</v>
      </c>
      <c r="D135" s="1" t="s">
        <v>299</v>
      </c>
      <c r="E135" s="1" t="s">
        <v>300</v>
      </c>
      <c r="F135" s="1" t="s">
        <v>67</v>
      </c>
      <c r="G135" s="1">
        <v>2</v>
      </c>
      <c r="H135" s="1">
        <v>4.4000000000000004</v>
      </c>
      <c r="I135" s="1">
        <v>300</v>
      </c>
      <c r="J135" s="1" t="s">
        <v>29</v>
      </c>
      <c r="K135" s="1" t="s">
        <v>20</v>
      </c>
      <c r="L135" t="s">
        <v>94</v>
      </c>
      <c r="M135" s="1" t="s">
        <v>19</v>
      </c>
      <c r="N135" s="1">
        <v>0.05</v>
      </c>
      <c r="O135" s="1" t="s">
        <v>25</v>
      </c>
    </row>
    <row r="136" spans="1:15" x14ac:dyDescent="0.3">
      <c r="A136" t="s">
        <v>62</v>
      </c>
      <c r="B136" s="1" t="s">
        <v>295</v>
      </c>
      <c r="C136" s="1" t="s">
        <v>301</v>
      </c>
      <c r="D136" s="1" t="s">
        <v>302</v>
      </c>
      <c r="E136" s="1" t="s">
        <v>247</v>
      </c>
      <c r="F136" s="1">
        <v>1828</v>
      </c>
      <c r="G136" s="1">
        <v>1.5</v>
      </c>
      <c r="H136" s="1">
        <v>4.4000000000000004</v>
      </c>
      <c r="I136" s="1">
        <v>0</v>
      </c>
      <c r="J136" s="1" t="s">
        <v>19</v>
      </c>
      <c r="K136" s="1" t="s">
        <v>20</v>
      </c>
      <c r="L136" t="s">
        <v>94</v>
      </c>
      <c r="M136" s="1" t="s">
        <v>19</v>
      </c>
      <c r="N136" s="1">
        <v>0.02</v>
      </c>
      <c r="O136" s="1" t="s">
        <v>37</v>
      </c>
    </row>
    <row r="137" spans="1:15" x14ac:dyDescent="0.3">
      <c r="A137" t="s">
        <v>62</v>
      </c>
      <c r="B137" s="1" t="s">
        <v>295</v>
      </c>
      <c r="C137" s="1" t="s">
        <v>303</v>
      </c>
      <c r="D137" s="1" t="s">
        <v>304</v>
      </c>
      <c r="E137" s="1" t="s">
        <v>263</v>
      </c>
      <c r="F137" s="1">
        <v>600</v>
      </c>
      <c r="G137" s="1">
        <v>3</v>
      </c>
      <c r="H137" s="1">
        <v>4.7</v>
      </c>
      <c r="I137" s="1">
        <v>30</v>
      </c>
      <c r="J137" s="1" t="s">
        <v>19</v>
      </c>
      <c r="K137" s="1" t="s">
        <v>305</v>
      </c>
      <c r="L137" t="s">
        <v>21</v>
      </c>
      <c r="M137" s="1" t="s">
        <v>19</v>
      </c>
      <c r="N137" s="1">
        <v>0.49</v>
      </c>
      <c r="O137" s="1" t="s">
        <v>25</v>
      </c>
    </row>
    <row r="138" spans="1:15" x14ac:dyDescent="0.3">
      <c r="A138" t="s">
        <v>306</v>
      </c>
      <c r="B138" s="1" t="s">
        <v>307</v>
      </c>
      <c r="C138" s="1" t="s">
        <v>308</v>
      </c>
      <c r="D138" s="1" t="s">
        <v>309</v>
      </c>
      <c r="E138" s="1" t="s">
        <v>310</v>
      </c>
      <c r="F138" s="1">
        <v>-850</v>
      </c>
      <c r="G138" s="1">
        <v>2</v>
      </c>
      <c r="H138" s="1">
        <v>4.7</v>
      </c>
      <c r="I138" s="1">
        <v>40</v>
      </c>
      <c r="J138" s="1" t="s">
        <v>29</v>
      </c>
      <c r="K138" s="1" t="s">
        <v>20</v>
      </c>
      <c r="L138" t="s">
        <v>169</v>
      </c>
      <c r="M138" s="1" t="s">
        <v>19</v>
      </c>
      <c r="N138" s="1">
        <v>0.09</v>
      </c>
      <c r="O138" s="1" t="s">
        <v>25</v>
      </c>
    </row>
    <row r="139" spans="1:15" x14ac:dyDescent="0.3">
      <c r="A139" t="s">
        <v>306</v>
      </c>
      <c r="B139" s="1" t="s">
        <v>307</v>
      </c>
      <c r="C139" s="1" t="s">
        <v>311</v>
      </c>
      <c r="D139" s="1" t="s">
        <v>312</v>
      </c>
      <c r="E139" s="1" t="s">
        <v>59</v>
      </c>
      <c r="F139" s="1">
        <v>-300</v>
      </c>
      <c r="G139" s="1">
        <v>1.5</v>
      </c>
      <c r="H139" s="1">
        <v>4.7</v>
      </c>
      <c r="I139" s="1">
        <v>30</v>
      </c>
      <c r="J139" s="1" t="s">
        <v>19</v>
      </c>
      <c r="K139" s="1" t="s">
        <v>20</v>
      </c>
      <c r="L139" t="s">
        <v>21</v>
      </c>
      <c r="M139" s="1" t="s">
        <v>19</v>
      </c>
      <c r="N139" s="1">
        <v>0.01</v>
      </c>
      <c r="O139" s="1" t="s">
        <v>25</v>
      </c>
    </row>
    <row r="140" spans="1:15" x14ac:dyDescent="0.3">
      <c r="A140" t="s">
        <v>306</v>
      </c>
      <c r="B140" s="1" t="s">
        <v>307</v>
      </c>
      <c r="C140" s="1" t="s">
        <v>313</v>
      </c>
      <c r="D140" s="1" t="s">
        <v>314</v>
      </c>
      <c r="E140" s="1" t="s">
        <v>91</v>
      </c>
      <c r="F140" s="1">
        <v>1747</v>
      </c>
      <c r="G140" s="1">
        <v>1</v>
      </c>
      <c r="H140" s="1">
        <v>4.4000000000000004</v>
      </c>
      <c r="I140" s="1">
        <v>10</v>
      </c>
      <c r="J140" s="1" t="s">
        <v>19</v>
      </c>
      <c r="K140" s="1" t="s">
        <v>20</v>
      </c>
      <c r="L140" t="s">
        <v>21</v>
      </c>
      <c r="M140" s="1" t="s">
        <v>19</v>
      </c>
      <c r="N140" s="1">
        <v>0.63</v>
      </c>
      <c r="O140" s="1" t="s">
        <v>25</v>
      </c>
    </row>
    <row r="141" spans="1:15" x14ac:dyDescent="0.3">
      <c r="A141" t="s">
        <v>306</v>
      </c>
      <c r="B141" s="1" t="s">
        <v>307</v>
      </c>
      <c r="C141" s="1" t="s">
        <v>315</v>
      </c>
      <c r="D141" s="1" t="s">
        <v>316</v>
      </c>
      <c r="E141" s="1" t="s">
        <v>43</v>
      </c>
      <c r="F141" s="1">
        <v>900</v>
      </c>
      <c r="G141" s="1">
        <v>2.5</v>
      </c>
      <c r="H141" s="1">
        <v>4.5</v>
      </c>
      <c r="I141" s="1">
        <v>75</v>
      </c>
      <c r="J141" s="1" t="s">
        <v>19</v>
      </c>
      <c r="K141" s="1" t="s">
        <v>20</v>
      </c>
      <c r="L141" t="s">
        <v>21</v>
      </c>
      <c r="M141" s="1" t="s">
        <v>19</v>
      </c>
      <c r="N141" s="1">
        <v>0.4</v>
      </c>
      <c r="O141" s="1" t="s">
        <v>37</v>
      </c>
    </row>
    <row r="142" spans="1:15" x14ac:dyDescent="0.3">
      <c r="A142" t="s">
        <v>306</v>
      </c>
      <c r="B142" s="1" t="s">
        <v>307</v>
      </c>
      <c r="C142" s="1" t="s">
        <v>317</v>
      </c>
      <c r="D142" s="1" t="s">
        <v>318</v>
      </c>
      <c r="E142" s="1" t="s">
        <v>27</v>
      </c>
      <c r="F142" s="1">
        <v>-3500</v>
      </c>
      <c r="G142" s="1">
        <v>1.5</v>
      </c>
      <c r="H142" s="1">
        <v>4.8</v>
      </c>
      <c r="I142" s="1">
        <v>0</v>
      </c>
      <c r="J142" s="1" t="s">
        <v>19</v>
      </c>
      <c r="K142" s="1" t="s">
        <v>20</v>
      </c>
      <c r="L142" t="s">
        <v>28</v>
      </c>
      <c r="M142" s="1" t="s">
        <v>29</v>
      </c>
      <c r="N142" s="1">
        <v>1.2</v>
      </c>
      <c r="O142" s="1" t="s">
        <v>51</v>
      </c>
    </row>
    <row r="143" spans="1:15" x14ac:dyDescent="0.3">
      <c r="A143" t="s">
        <v>306</v>
      </c>
      <c r="B143" s="1" t="s">
        <v>307</v>
      </c>
      <c r="C143" s="1" t="s">
        <v>319</v>
      </c>
      <c r="D143" s="1" t="s">
        <v>320</v>
      </c>
      <c r="E143" s="1" t="s">
        <v>142</v>
      </c>
      <c r="F143" s="1" t="s">
        <v>67</v>
      </c>
      <c r="G143" s="1">
        <v>1</v>
      </c>
      <c r="H143" s="1">
        <v>4.5</v>
      </c>
      <c r="I143" s="1">
        <v>0</v>
      </c>
      <c r="J143" s="1" t="s">
        <v>29</v>
      </c>
      <c r="K143" s="1" t="s">
        <v>20</v>
      </c>
      <c r="L143" t="s">
        <v>94</v>
      </c>
      <c r="M143" s="1" t="s">
        <v>19</v>
      </c>
      <c r="N143" s="1">
        <v>0.01</v>
      </c>
      <c r="O143" s="1" t="s">
        <v>37</v>
      </c>
    </row>
    <row r="144" spans="1:15" x14ac:dyDescent="0.3">
      <c r="A144" t="s">
        <v>306</v>
      </c>
      <c r="B144" s="1" t="s">
        <v>307</v>
      </c>
      <c r="C144" s="1" t="s">
        <v>321</v>
      </c>
      <c r="D144" s="1" t="s">
        <v>322</v>
      </c>
      <c r="E144" s="1" t="s">
        <v>142</v>
      </c>
      <c r="F144" s="1" t="s">
        <v>67</v>
      </c>
      <c r="G144" s="1">
        <v>1.5</v>
      </c>
      <c r="H144" s="1">
        <v>4.5999999999999996</v>
      </c>
      <c r="I144" s="1">
        <v>15</v>
      </c>
      <c r="J144" s="1" t="s">
        <v>29</v>
      </c>
      <c r="K144" s="1" t="s">
        <v>20</v>
      </c>
      <c r="L144" t="s">
        <v>94</v>
      </c>
      <c r="M144" s="1" t="s">
        <v>19</v>
      </c>
      <c r="N144" s="1">
        <v>6.5000000000000002E-2</v>
      </c>
      <c r="O144" s="1" t="s">
        <v>37</v>
      </c>
    </row>
    <row r="145" spans="1:15" x14ac:dyDescent="0.3">
      <c r="A145" t="s">
        <v>306</v>
      </c>
      <c r="B145" s="1" t="s">
        <v>307</v>
      </c>
      <c r="C145" s="1" t="s">
        <v>323</v>
      </c>
      <c r="D145" s="1" t="s">
        <v>324</v>
      </c>
      <c r="E145" s="1" t="s">
        <v>190</v>
      </c>
      <c r="F145" s="1">
        <v>1955</v>
      </c>
      <c r="G145" s="1">
        <v>3</v>
      </c>
      <c r="H145" s="1">
        <v>4.5</v>
      </c>
      <c r="I145" s="1">
        <v>100</v>
      </c>
      <c r="J145" s="1" t="s">
        <v>29</v>
      </c>
      <c r="K145" s="1" t="s">
        <v>20</v>
      </c>
      <c r="L145" t="s">
        <v>73</v>
      </c>
      <c r="M145" s="1" t="s">
        <v>19</v>
      </c>
      <c r="N145" s="1">
        <v>0.1</v>
      </c>
      <c r="O145" s="1" t="s">
        <v>37</v>
      </c>
    </row>
    <row r="146" spans="1:15" x14ac:dyDescent="0.3">
      <c r="A146" t="s">
        <v>306</v>
      </c>
      <c r="B146" s="1" t="s">
        <v>307</v>
      </c>
      <c r="C146" s="1" t="s">
        <v>325</v>
      </c>
      <c r="D146" s="1" t="s">
        <v>326</v>
      </c>
      <c r="E146" s="1" t="s">
        <v>72</v>
      </c>
      <c r="F146" s="1">
        <v>1968</v>
      </c>
      <c r="G146" s="1">
        <v>3</v>
      </c>
      <c r="H146" s="1">
        <v>4.5</v>
      </c>
      <c r="I146" s="1">
        <v>50</v>
      </c>
      <c r="J146" s="1" t="s">
        <v>29</v>
      </c>
      <c r="K146" s="1" t="s">
        <v>20</v>
      </c>
      <c r="L146" t="s">
        <v>73</v>
      </c>
      <c r="M146" s="1" t="s">
        <v>19</v>
      </c>
      <c r="N146" s="1">
        <v>0.05</v>
      </c>
      <c r="O146" s="1" t="s">
        <v>37</v>
      </c>
    </row>
    <row r="147" spans="1:15" x14ac:dyDescent="0.3">
      <c r="A147" t="s">
        <v>306</v>
      </c>
      <c r="B147" s="1" t="s">
        <v>307</v>
      </c>
      <c r="C147" s="1" t="s">
        <v>327</v>
      </c>
      <c r="D147" s="1" t="s">
        <v>328</v>
      </c>
      <c r="E147" s="1" t="s">
        <v>43</v>
      </c>
      <c r="F147" s="1">
        <v>1500</v>
      </c>
      <c r="G147" s="1">
        <v>1.5</v>
      </c>
      <c r="H147" s="1">
        <v>4.8</v>
      </c>
      <c r="I147" s="1">
        <v>10</v>
      </c>
      <c r="J147" s="1" t="s">
        <v>29</v>
      </c>
      <c r="K147" s="1" t="s">
        <v>20</v>
      </c>
      <c r="L147" t="s">
        <v>21</v>
      </c>
      <c r="M147" s="1" t="s">
        <v>19</v>
      </c>
      <c r="N147" s="1">
        <v>0.1</v>
      </c>
      <c r="O147" s="1" t="s">
        <v>25</v>
      </c>
    </row>
    <row r="148" spans="1:15" x14ac:dyDescent="0.3">
      <c r="A148" t="s">
        <v>306</v>
      </c>
      <c r="B148" s="1" t="s">
        <v>307</v>
      </c>
      <c r="C148" s="1" t="s">
        <v>329</v>
      </c>
      <c r="D148" s="1" t="s">
        <v>330</v>
      </c>
      <c r="E148" s="1" t="s">
        <v>134</v>
      </c>
      <c r="F148" s="1">
        <v>1500</v>
      </c>
      <c r="G148" s="1">
        <v>1</v>
      </c>
      <c r="H148" s="1">
        <v>3.9</v>
      </c>
      <c r="I148" s="1">
        <v>50</v>
      </c>
      <c r="J148" s="1" t="s">
        <v>29</v>
      </c>
      <c r="K148" s="1" t="s">
        <v>20</v>
      </c>
      <c r="L148" t="s">
        <v>21</v>
      </c>
      <c r="M148" s="1" t="s">
        <v>19</v>
      </c>
      <c r="N148" s="1">
        <v>0.03</v>
      </c>
      <c r="O148" s="1" t="s">
        <v>25</v>
      </c>
    </row>
    <row r="149" spans="1:15" x14ac:dyDescent="0.3">
      <c r="A149" t="s">
        <v>306</v>
      </c>
      <c r="B149" s="1" t="s">
        <v>307</v>
      </c>
      <c r="C149" s="1" t="s">
        <v>331</v>
      </c>
      <c r="D149" s="1" t="s">
        <v>332</v>
      </c>
      <c r="E149" s="1" t="s">
        <v>333</v>
      </c>
      <c r="F149" s="1">
        <v>1958</v>
      </c>
      <c r="G149" s="1">
        <v>2</v>
      </c>
      <c r="H149" s="1">
        <v>4.5999999999999996</v>
      </c>
      <c r="I149" s="1">
        <v>25</v>
      </c>
      <c r="J149" s="1" t="s">
        <v>29</v>
      </c>
      <c r="K149" s="1" t="s">
        <v>20</v>
      </c>
      <c r="L149" t="s">
        <v>334</v>
      </c>
      <c r="M149" s="1" t="s">
        <v>19</v>
      </c>
      <c r="N149" s="1">
        <v>7.0000000000000007E-2</v>
      </c>
      <c r="O149" s="1" t="s">
        <v>25</v>
      </c>
    </row>
    <row r="150" spans="1:15" x14ac:dyDescent="0.3">
      <c r="A150" t="s">
        <v>306</v>
      </c>
      <c r="B150" s="1" t="s">
        <v>307</v>
      </c>
      <c r="C150" s="1" t="s">
        <v>335</v>
      </c>
      <c r="D150" s="1" t="s">
        <v>336</v>
      </c>
      <c r="E150" s="1" t="s">
        <v>27</v>
      </c>
      <c r="F150" s="1">
        <v>1200</v>
      </c>
      <c r="G150" s="1">
        <v>1</v>
      </c>
      <c r="H150" s="1">
        <v>4.4000000000000004</v>
      </c>
      <c r="I150" s="1">
        <v>0</v>
      </c>
      <c r="J150" s="1" t="s">
        <v>29</v>
      </c>
      <c r="K150" s="1" t="s">
        <v>20</v>
      </c>
      <c r="L150" t="s">
        <v>28</v>
      </c>
      <c r="M150" s="1" t="s">
        <v>19</v>
      </c>
      <c r="N150" s="1">
        <v>0.01</v>
      </c>
      <c r="O150" s="1" t="s">
        <v>51</v>
      </c>
    </row>
    <row r="151" spans="1:15" x14ac:dyDescent="0.3">
      <c r="A151" t="s">
        <v>306</v>
      </c>
      <c r="B151" s="1" t="s">
        <v>307</v>
      </c>
      <c r="C151" s="1" t="s">
        <v>337</v>
      </c>
      <c r="D151" s="1" t="s">
        <v>338</v>
      </c>
      <c r="E151" s="1" t="s">
        <v>142</v>
      </c>
      <c r="F151" s="1" t="s">
        <v>67</v>
      </c>
      <c r="G151" s="1">
        <v>1.5</v>
      </c>
      <c r="H151" s="1">
        <v>4.4000000000000004</v>
      </c>
      <c r="I151" s="1">
        <v>0</v>
      </c>
      <c r="J151" s="1" t="s">
        <v>29</v>
      </c>
      <c r="K151" s="1" t="s">
        <v>20</v>
      </c>
      <c r="L151" t="s">
        <v>94</v>
      </c>
      <c r="M151" s="1" t="s">
        <v>19</v>
      </c>
      <c r="N151" s="1">
        <v>0.1</v>
      </c>
      <c r="O151" s="1" t="s">
        <v>37</v>
      </c>
    </row>
    <row r="152" spans="1:15" x14ac:dyDescent="0.3">
      <c r="A152" t="s">
        <v>15</v>
      </c>
      <c r="B152" s="1" t="s">
        <v>339</v>
      </c>
      <c r="C152" s="1" t="s">
        <v>340</v>
      </c>
      <c r="D152" s="1" t="s">
        <v>341</v>
      </c>
      <c r="E152" s="1" t="s">
        <v>342</v>
      </c>
      <c r="F152" s="1" t="s">
        <v>67</v>
      </c>
      <c r="G152" s="1">
        <v>1</v>
      </c>
      <c r="H152" s="1">
        <v>4.7</v>
      </c>
      <c r="I152" s="1">
        <v>0</v>
      </c>
      <c r="J152" s="1" t="s">
        <v>19</v>
      </c>
      <c r="K152" s="1" t="s">
        <v>20</v>
      </c>
      <c r="L152" t="s">
        <v>80</v>
      </c>
      <c r="M152" s="1" t="s">
        <v>19</v>
      </c>
      <c r="N152" s="1">
        <v>0.03</v>
      </c>
      <c r="O152" s="1" t="s">
        <v>37</v>
      </c>
    </row>
    <row r="153" spans="1:15" x14ac:dyDescent="0.3">
      <c r="A153" t="s">
        <v>15</v>
      </c>
      <c r="B153" s="1" t="s">
        <v>339</v>
      </c>
      <c r="C153" s="1" t="s">
        <v>343</v>
      </c>
      <c r="D153" s="1" t="s">
        <v>344</v>
      </c>
      <c r="E153" s="1" t="s">
        <v>300</v>
      </c>
      <c r="F153" s="1" t="s">
        <v>67</v>
      </c>
      <c r="G153" s="1">
        <v>2</v>
      </c>
      <c r="H153" s="1">
        <v>4.0999999999999996</v>
      </c>
      <c r="I153" s="1">
        <v>0</v>
      </c>
      <c r="J153" s="1" t="s">
        <v>29</v>
      </c>
      <c r="K153" s="1" t="s">
        <v>20</v>
      </c>
      <c r="L153" t="s">
        <v>345</v>
      </c>
      <c r="M153" s="1" t="s">
        <v>19</v>
      </c>
      <c r="N153" s="1">
        <v>0.05</v>
      </c>
      <c r="O153" s="1" t="s">
        <v>37</v>
      </c>
    </row>
    <row r="154" spans="1:15" x14ac:dyDescent="0.3">
      <c r="A154" t="s">
        <v>15</v>
      </c>
      <c r="B154" s="1" t="s">
        <v>339</v>
      </c>
      <c r="C154" s="1" t="s">
        <v>346</v>
      </c>
      <c r="D154" s="1" t="s">
        <v>347</v>
      </c>
      <c r="E154" s="1" t="s">
        <v>27</v>
      </c>
      <c r="F154" s="1">
        <v>1959</v>
      </c>
      <c r="G154" s="1">
        <v>1.5</v>
      </c>
      <c r="H154" s="1">
        <v>4.7</v>
      </c>
      <c r="I154" s="1">
        <v>0</v>
      </c>
      <c r="J154" s="1" t="s">
        <v>19</v>
      </c>
      <c r="K154" s="1" t="s">
        <v>20</v>
      </c>
      <c r="L154" t="s">
        <v>28</v>
      </c>
      <c r="M154" s="1" t="s">
        <v>29</v>
      </c>
      <c r="N154" s="1">
        <v>0.15</v>
      </c>
      <c r="O154" s="1" t="s">
        <v>51</v>
      </c>
    </row>
    <row r="155" spans="1:15" x14ac:dyDescent="0.3">
      <c r="A155" t="s">
        <v>15</v>
      </c>
      <c r="B155" s="1" t="s">
        <v>339</v>
      </c>
      <c r="C155" s="1" t="s">
        <v>348</v>
      </c>
      <c r="D155" s="1" t="s">
        <v>349</v>
      </c>
      <c r="E155" s="1" t="s">
        <v>106</v>
      </c>
      <c r="F155" s="1" t="s">
        <v>67</v>
      </c>
      <c r="G155" s="1">
        <v>1.5</v>
      </c>
      <c r="H155" s="1">
        <v>4.5</v>
      </c>
      <c r="I155" s="1">
        <v>0</v>
      </c>
      <c r="J155" s="1" t="s">
        <v>29</v>
      </c>
      <c r="K155" s="1" t="s">
        <v>20</v>
      </c>
      <c r="L155" t="s">
        <v>94</v>
      </c>
      <c r="M155" s="1" t="s">
        <v>19</v>
      </c>
      <c r="N155" s="1">
        <v>0.1</v>
      </c>
      <c r="O155" s="1" t="s">
        <v>37</v>
      </c>
    </row>
    <row r="156" spans="1:15" x14ac:dyDescent="0.3">
      <c r="A156" t="s">
        <v>15</v>
      </c>
      <c r="B156" s="1" t="s">
        <v>339</v>
      </c>
      <c r="C156" s="1" t="s">
        <v>350</v>
      </c>
      <c r="D156" s="1" t="s">
        <v>351</v>
      </c>
      <c r="E156" s="1" t="s">
        <v>352</v>
      </c>
      <c r="F156" s="1">
        <v>1100</v>
      </c>
      <c r="G156" s="1">
        <v>1</v>
      </c>
      <c r="H156" s="1">
        <v>4.8</v>
      </c>
      <c r="I156" s="1">
        <v>0</v>
      </c>
      <c r="J156" s="1" t="s">
        <v>29</v>
      </c>
      <c r="K156" s="1" t="s">
        <v>20</v>
      </c>
      <c r="L156" t="s">
        <v>28</v>
      </c>
      <c r="M156" s="1" t="s">
        <v>19</v>
      </c>
      <c r="N156" s="1">
        <v>2.5000000000000001E-2</v>
      </c>
      <c r="O156" s="1" t="s">
        <v>37</v>
      </c>
    </row>
    <row r="157" spans="1:15" x14ac:dyDescent="0.3">
      <c r="A157" t="s">
        <v>15</v>
      </c>
      <c r="B157" s="1" t="s">
        <v>339</v>
      </c>
      <c r="C157" s="1" t="s">
        <v>353</v>
      </c>
      <c r="D157" s="1" t="s">
        <v>354</v>
      </c>
      <c r="E157" s="1" t="s">
        <v>72</v>
      </c>
      <c r="F157" s="1">
        <v>1984</v>
      </c>
      <c r="G157" s="1">
        <v>3</v>
      </c>
      <c r="H157" s="1">
        <v>4.5</v>
      </c>
      <c r="I157" s="1">
        <v>50</v>
      </c>
      <c r="J157" s="1" t="s">
        <v>29</v>
      </c>
      <c r="K157" s="1" t="s">
        <v>20</v>
      </c>
      <c r="L157" t="s">
        <v>73</v>
      </c>
      <c r="M157" s="1" t="s">
        <v>19</v>
      </c>
      <c r="N157" s="1">
        <v>0.2</v>
      </c>
      <c r="O157" s="1" t="s">
        <v>51</v>
      </c>
    </row>
    <row r="158" spans="1:15" x14ac:dyDescent="0.3">
      <c r="A158" t="s">
        <v>15</v>
      </c>
      <c r="B158" s="1" t="s">
        <v>339</v>
      </c>
      <c r="C158" s="1" t="s">
        <v>355</v>
      </c>
      <c r="D158" s="1" t="s">
        <v>356</v>
      </c>
      <c r="E158" s="1" t="s">
        <v>106</v>
      </c>
      <c r="F158" s="1" t="s">
        <v>67</v>
      </c>
      <c r="G158" s="1">
        <v>2</v>
      </c>
      <c r="H158" s="1">
        <v>4.4000000000000004</v>
      </c>
      <c r="I158" s="1">
        <v>0</v>
      </c>
      <c r="J158" s="1" t="s">
        <v>29</v>
      </c>
      <c r="K158" s="1" t="s">
        <v>20</v>
      </c>
      <c r="L158" t="s">
        <v>80</v>
      </c>
      <c r="M158" s="1" t="s">
        <v>19</v>
      </c>
      <c r="N158" s="1">
        <v>0.01</v>
      </c>
      <c r="O158" s="1" t="s">
        <v>37</v>
      </c>
    </row>
    <row r="159" spans="1:15" x14ac:dyDescent="0.3">
      <c r="A159" t="s">
        <v>15</v>
      </c>
      <c r="B159" s="1" t="s">
        <v>339</v>
      </c>
      <c r="C159" s="1" t="s">
        <v>357</v>
      </c>
      <c r="D159" s="1" t="s">
        <v>358</v>
      </c>
      <c r="E159" s="1" t="s">
        <v>300</v>
      </c>
      <c r="F159" s="1" t="s">
        <v>67</v>
      </c>
      <c r="G159" s="1">
        <v>2</v>
      </c>
      <c r="H159" s="1">
        <v>4.5</v>
      </c>
      <c r="I159" s="1">
        <v>0</v>
      </c>
      <c r="J159" s="1" t="s">
        <v>29</v>
      </c>
      <c r="K159" s="1" t="s">
        <v>20</v>
      </c>
      <c r="L159" t="s">
        <v>94</v>
      </c>
      <c r="M159" s="1" t="s">
        <v>19</v>
      </c>
      <c r="N159" s="1">
        <v>0.01</v>
      </c>
      <c r="O159" s="1" t="s">
        <v>37</v>
      </c>
    </row>
    <row r="160" spans="1:15" x14ac:dyDescent="0.3">
      <c r="A160" t="s">
        <v>15</v>
      </c>
      <c r="B160" s="1" t="s">
        <v>339</v>
      </c>
      <c r="C160" s="1" t="s">
        <v>359</v>
      </c>
      <c r="D160" s="1" t="s">
        <v>360</v>
      </c>
      <c r="E160" s="1" t="s">
        <v>43</v>
      </c>
      <c r="F160" s="1">
        <v>400</v>
      </c>
      <c r="G160" s="1">
        <v>2</v>
      </c>
      <c r="H160" s="1">
        <v>4.4000000000000004</v>
      </c>
      <c r="I160" s="1">
        <v>150</v>
      </c>
      <c r="J160" s="1" t="s">
        <v>19</v>
      </c>
      <c r="K160" s="1" t="s">
        <v>20</v>
      </c>
      <c r="L160" t="s">
        <v>21</v>
      </c>
      <c r="M160" s="1" t="s">
        <v>19</v>
      </c>
      <c r="N160" s="1">
        <v>0.1</v>
      </c>
      <c r="O160" s="1" t="s">
        <v>51</v>
      </c>
    </row>
    <row r="161" spans="1:15" x14ac:dyDescent="0.3">
      <c r="A161" t="s">
        <v>15</v>
      </c>
      <c r="B161" s="1" t="s">
        <v>339</v>
      </c>
      <c r="C161" s="1" t="s">
        <v>361</v>
      </c>
      <c r="D161" s="1" t="s">
        <v>362</v>
      </c>
      <c r="E161" s="1" t="s">
        <v>363</v>
      </c>
      <c r="F161" s="1">
        <v>1950</v>
      </c>
      <c r="G161" s="1">
        <v>1.5</v>
      </c>
      <c r="H161" s="1">
        <v>4.5999999999999996</v>
      </c>
      <c r="I161" s="1">
        <v>0</v>
      </c>
      <c r="J161" s="1" t="s">
        <v>19</v>
      </c>
      <c r="K161" s="1" t="s">
        <v>20</v>
      </c>
      <c r="L161" t="s">
        <v>364</v>
      </c>
      <c r="M161" s="1" t="s">
        <v>19</v>
      </c>
      <c r="N161" s="1">
        <v>1.4999999999999999E-2</v>
      </c>
      <c r="O161" s="1" t="s">
        <v>37</v>
      </c>
    </row>
    <row r="162" spans="1:15" x14ac:dyDescent="0.3">
      <c r="A162" t="s">
        <v>15</v>
      </c>
      <c r="B162" s="1" t="s">
        <v>339</v>
      </c>
      <c r="C162" s="1" t="s">
        <v>365</v>
      </c>
      <c r="D162" s="1" t="s">
        <v>366</v>
      </c>
      <c r="E162" s="1" t="s">
        <v>106</v>
      </c>
      <c r="F162" s="1">
        <v>1400</v>
      </c>
      <c r="G162" s="1">
        <v>1.5</v>
      </c>
      <c r="H162" s="1">
        <v>4.5999999999999996</v>
      </c>
      <c r="I162" s="1">
        <v>0</v>
      </c>
      <c r="J162" s="1" t="s">
        <v>29</v>
      </c>
      <c r="K162" s="1" t="s">
        <v>20</v>
      </c>
      <c r="L162" t="s">
        <v>94</v>
      </c>
      <c r="M162" s="1" t="s">
        <v>19</v>
      </c>
      <c r="N162" s="1">
        <v>0.01</v>
      </c>
      <c r="O162" s="1" t="s">
        <v>37</v>
      </c>
    </row>
    <row r="163" spans="1:15" x14ac:dyDescent="0.3">
      <c r="A163" t="s">
        <v>15</v>
      </c>
      <c r="B163" s="1" t="s">
        <v>339</v>
      </c>
      <c r="C163" s="1" t="s">
        <v>367</v>
      </c>
      <c r="D163" s="1" t="s">
        <v>368</v>
      </c>
      <c r="E163" s="1" t="s">
        <v>369</v>
      </c>
      <c r="F163" s="1">
        <v>2005</v>
      </c>
      <c r="G163" s="1">
        <v>2</v>
      </c>
      <c r="H163" s="1">
        <v>4.8</v>
      </c>
      <c r="I163" s="1">
        <v>2500</v>
      </c>
      <c r="J163" s="1" t="s">
        <v>29</v>
      </c>
      <c r="K163" s="1" t="s">
        <v>20</v>
      </c>
      <c r="L163" t="s">
        <v>345</v>
      </c>
      <c r="M163" s="1" t="s">
        <v>19</v>
      </c>
      <c r="N163" s="1">
        <v>0.01</v>
      </c>
      <c r="O163" s="1" t="s">
        <v>51</v>
      </c>
    </row>
    <row r="164" spans="1:15" x14ac:dyDescent="0.3">
      <c r="A164" t="s">
        <v>15</v>
      </c>
      <c r="B164" s="1" t="s">
        <v>339</v>
      </c>
      <c r="C164" s="1" t="s">
        <v>370</v>
      </c>
      <c r="D164" s="1" t="s">
        <v>371</v>
      </c>
      <c r="E164" s="1" t="s">
        <v>372</v>
      </c>
      <c r="F164" s="1" t="s">
        <v>67</v>
      </c>
      <c r="G164" s="1">
        <v>5</v>
      </c>
      <c r="H164" s="1">
        <v>4.8</v>
      </c>
      <c r="I164" s="1">
        <v>0</v>
      </c>
      <c r="J164" s="1" t="s">
        <v>19</v>
      </c>
      <c r="K164" s="1" t="s">
        <v>20</v>
      </c>
      <c r="L164" t="s">
        <v>345</v>
      </c>
      <c r="M164" s="1" t="s">
        <v>19</v>
      </c>
      <c r="N164" s="1">
        <v>0.01</v>
      </c>
      <c r="O164" s="1" t="s">
        <v>37</v>
      </c>
    </row>
    <row r="165" spans="1:15" x14ac:dyDescent="0.3">
      <c r="A165" t="s">
        <v>15</v>
      </c>
      <c r="B165" s="1" t="s">
        <v>339</v>
      </c>
      <c r="C165" s="1" t="s">
        <v>373</v>
      </c>
      <c r="D165" s="1" t="s">
        <v>374</v>
      </c>
      <c r="E165" s="1" t="s">
        <v>375</v>
      </c>
      <c r="F165" s="1">
        <v>1980</v>
      </c>
      <c r="G165" s="1">
        <v>1</v>
      </c>
      <c r="H165" s="1">
        <v>4.5999999999999996</v>
      </c>
      <c r="I165" s="1">
        <v>0</v>
      </c>
      <c r="J165" s="1" t="s">
        <v>29</v>
      </c>
      <c r="K165" s="1" t="s">
        <v>20</v>
      </c>
      <c r="L165" t="s">
        <v>28</v>
      </c>
      <c r="M165" s="1" t="s">
        <v>19</v>
      </c>
      <c r="N165" s="1">
        <v>1.3</v>
      </c>
      <c r="O165" s="1" t="s">
        <v>37</v>
      </c>
    </row>
    <row r="166" spans="1:15" x14ac:dyDescent="0.3">
      <c r="A166" t="s">
        <v>15</v>
      </c>
      <c r="B166" s="1" t="s">
        <v>339</v>
      </c>
      <c r="C166" s="1" t="s">
        <v>376</v>
      </c>
      <c r="D166" s="1" t="s">
        <v>377</v>
      </c>
      <c r="E166" s="1" t="s">
        <v>247</v>
      </c>
      <c r="F166" s="1" t="s">
        <v>67</v>
      </c>
      <c r="G166" s="1">
        <v>2</v>
      </c>
      <c r="H166" s="1">
        <v>4.5</v>
      </c>
      <c r="I166" s="1">
        <v>0</v>
      </c>
      <c r="J166" s="1" t="s">
        <v>19</v>
      </c>
      <c r="K166" s="1" t="s">
        <v>20</v>
      </c>
      <c r="L166" t="s">
        <v>94</v>
      </c>
      <c r="M166" s="1" t="s">
        <v>19</v>
      </c>
      <c r="N166" s="1">
        <v>1.1000000000000001</v>
      </c>
      <c r="O166" s="1" t="s">
        <v>51</v>
      </c>
    </row>
    <row r="167" spans="1:15" x14ac:dyDescent="0.3">
      <c r="A167" t="s">
        <v>15</v>
      </c>
      <c r="B167" s="1" t="s">
        <v>339</v>
      </c>
      <c r="C167" s="1" t="s">
        <v>378</v>
      </c>
      <c r="D167" s="1" t="s">
        <v>379</v>
      </c>
      <c r="E167" s="1" t="s">
        <v>300</v>
      </c>
      <c r="F167" s="1" t="s">
        <v>67</v>
      </c>
      <c r="G167" s="1">
        <v>2</v>
      </c>
      <c r="H167" s="1">
        <v>4.7</v>
      </c>
      <c r="I167" s="1">
        <v>0</v>
      </c>
      <c r="J167" s="1" t="s">
        <v>29</v>
      </c>
      <c r="K167" s="1" t="s">
        <v>20</v>
      </c>
      <c r="L167" t="s">
        <v>94</v>
      </c>
      <c r="M167" s="1" t="s">
        <v>19</v>
      </c>
      <c r="N167" s="1">
        <v>1.2</v>
      </c>
      <c r="O167" s="1" t="s">
        <v>37</v>
      </c>
    </row>
    <row r="168" spans="1:15" x14ac:dyDescent="0.3">
      <c r="A168" t="s">
        <v>15</v>
      </c>
      <c r="B168" s="1" t="s">
        <v>339</v>
      </c>
      <c r="C168" s="1" t="s">
        <v>380</v>
      </c>
      <c r="D168" s="1" t="s">
        <v>381</v>
      </c>
      <c r="E168" s="1" t="s">
        <v>106</v>
      </c>
      <c r="F168" s="1" t="s">
        <v>67</v>
      </c>
      <c r="G168" s="1">
        <v>2.5</v>
      </c>
      <c r="H168" s="1">
        <v>4.4000000000000004</v>
      </c>
      <c r="I168" s="1">
        <v>0</v>
      </c>
      <c r="J168" s="1" t="s">
        <v>29</v>
      </c>
      <c r="K168" s="1" t="s">
        <v>20</v>
      </c>
      <c r="L168" t="s">
        <v>94</v>
      </c>
      <c r="M168" s="1" t="s">
        <v>19</v>
      </c>
      <c r="N168" s="1">
        <v>0.9</v>
      </c>
      <c r="O168" s="1" t="s">
        <v>37</v>
      </c>
    </row>
    <row r="169" spans="1:15" x14ac:dyDescent="0.3">
      <c r="A169" t="s">
        <v>15</v>
      </c>
      <c r="B169" s="1" t="s">
        <v>339</v>
      </c>
      <c r="C169" s="1" t="s">
        <v>382</v>
      </c>
      <c r="D169" s="1" t="s">
        <v>383</v>
      </c>
      <c r="E169" s="1" t="s">
        <v>384</v>
      </c>
      <c r="F169" s="1">
        <v>1975</v>
      </c>
      <c r="G169" s="1">
        <v>5</v>
      </c>
      <c r="H169" s="1">
        <v>3.8</v>
      </c>
      <c r="I169" s="1">
        <v>1500</v>
      </c>
      <c r="J169" s="1" t="s">
        <v>19</v>
      </c>
      <c r="K169" s="1" t="s">
        <v>20</v>
      </c>
      <c r="L169" t="s">
        <v>80</v>
      </c>
      <c r="M169" s="1" t="s">
        <v>19</v>
      </c>
      <c r="N169" s="1">
        <v>0.1</v>
      </c>
      <c r="O169" s="1" t="s">
        <v>51</v>
      </c>
    </row>
    <row r="170" spans="1:15" x14ac:dyDescent="0.3">
      <c r="A170" t="s">
        <v>15</v>
      </c>
      <c r="B170" s="1" t="s">
        <v>385</v>
      </c>
      <c r="C170" s="1" t="s">
        <v>386</v>
      </c>
      <c r="D170" s="1" t="s">
        <v>387</v>
      </c>
      <c r="E170" s="1" t="s">
        <v>106</v>
      </c>
      <c r="F170" s="1" t="s">
        <v>67</v>
      </c>
      <c r="G170" s="1">
        <v>1.5</v>
      </c>
      <c r="H170" s="1">
        <v>4.2</v>
      </c>
      <c r="I170" s="1">
        <v>0</v>
      </c>
      <c r="J170" s="1" t="s">
        <v>19</v>
      </c>
      <c r="K170" s="1" t="s">
        <v>20</v>
      </c>
      <c r="L170" t="s">
        <v>94</v>
      </c>
      <c r="M170" s="1" t="s">
        <v>19</v>
      </c>
      <c r="N170" s="1">
        <v>0.01</v>
      </c>
      <c r="O170" s="1" t="s">
        <v>37</v>
      </c>
    </row>
    <row r="171" spans="1:15" x14ac:dyDescent="0.3">
      <c r="A171" t="s">
        <v>15</v>
      </c>
      <c r="B171" s="1" t="s">
        <v>385</v>
      </c>
      <c r="C171" s="1" t="s">
        <v>388</v>
      </c>
      <c r="D171" s="1" t="s">
        <v>389</v>
      </c>
      <c r="E171" s="1" t="s">
        <v>390</v>
      </c>
      <c r="F171" s="1">
        <v>1939</v>
      </c>
      <c r="G171" s="1">
        <v>1</v>
      </c>
      <c r="H171" s="1">
        <v>4.4000000000000004</v>
      </c>
      <c r="I171" s="1">
        <v>0</v>
      </c>
      <c r="J171" s="1" t="s">
        <v>19</v>
      </c>
      <c r="K171" s="1" t="s">
        <v>20</v>
      </c>
      <c r="L171" t="s">
        <v>169</v>
      </c>
      <c r="M171" s="1" t="s">
        <v>19</v>
      </c>
      <c r="N171" s="1">
        <v>0.03</v>
      </c>
      <c r="O171" s="1" t="s">
        <v>37</v>
      </c>
    </row>
    <row r="172" spans="1:15" x14ac:dyDescent="0.3">
      <c r="A172" t="s">
        <v>15</v>
      </c>
      <c r="B172" s="1" t="s">
        <v>385</v>
      </c>
      <c r="C172" s="1" t="s">
        <v>391</v>
      </c>
      <c r="D172" s="1" t="s">
        <v>392</v>
      </c>
      <c r="E172" s="1" t="s">
        <v>393</v>
      </c>
      <c r="F172" s="1" t="s">
        <v>67</v>
      </c>
      <c r="G172" s="1">
        <v>1</v>
      </c>
      <c r="H172" s="1">
        <v>4.5</v>
      </c>
      <c r="I172" s="1">
        <v>0</v>
      </c>
      <c r="J172" s="1" t="s">
        <v>19</v>
      </c>
      <c r="K172" s="1" t="s">
        <v>20</v>
      </c>
      <c r="L172" t="s">
        <v>28</v>
      </c>
      <c r="M172" s="1" t="s">
        <v>19</v>
      </c>
      <c r="N172" s="1">
        <v>2.5000000000000001E-2</v>
      </c>
      <c r="O172" s="1" t="s">
        <v>51</v>
      </c>
    </row>
    <row r="173" spans="1:15" x14ac:dyDescent="0.3">
      <c r="A173" t="s">
        <v>15</v>
      </c>
      <c r="B173" s="1" t="s">
        <v>385</v>
      </c>
      <c r="C173" s="1" t="s">
        <v>394</v>
      </c>
      <c r="D173" s="1" t="s">
        <v>395</v>
      </c>
      <c r="E173" s="1" t="s">
        <v>263</v>
      </c>
      <c r="F173" s="1" t="s">
        <v>67</v>
      </c>
      <c r="G173" s="1">
        <v>1.5</v>
      </c>
      <c r="H173" s="1">
        <v>4.5</v>
      </c>
      <c r="I173" s="1">
        <v>25</v>
      </c>
      <c r="J173" s="1" t="s">
        <v>19</v>
      </c>
      <c r="K173" s="1" t="s">
        <v>20</v>
      </c>
      <c r="L173" t="s">
        <v>94</v>
      </c>
      <c r="M173" s="1" t="s">
        <v>19</v>
      </c>
      <c r="N173" s="1">
        <v>0.01</v>
      </c>
      <c r="O173" s="1" t="s">
        <v>37</v>
      </c>
    </row>
    <row r="174" spans="1:15" x14ac:dyDescent="0.3">
      <c r="A174" t="s">
        <v>15</v>
      </c>
      <c r="B174" s="1" t="s">
        <v>385</v>
      </c>
      <c r="C174" s="1" t="s">
        <v>396</v>
      </c>
      <c r="D174" s="1" t="s">
        <v>397</v>
      </c>
      <c r="E174" s="1" t="s">
        <v>142</v>
      </c>
      <c r="F174" s="1" t="s">
        <v>67</v>
      </c>
      <c r="G174" s="1">
        <v>1.5</v>
      </c>
      <c r="H174" s="1">
        <v>4.2</v>
      </c>
      <c r="I174" s="1">
        <v>15</v>
      </c>
      <c r="J174" s="1" t="s">
        <v>19</v>
      </c>
      <c r="K174" s="1" t="s">
        <v>20</v>
      </c>
      <c r="L174" t="s">
        <v>94</v>
      </c>
      <c r="M174" s="1" t="s">
        <v>19</v>
      </c>
      <c r="N174" s="1">
        <v>0.55000000000000004</v>
      </c>
      <c r="O174" s="1" t="s">
        <v>37</v>
      </c>
    </row>
    <row r="175" spans="1:15" x14ac:dyDescent="0.3">
      <c r="A175" t="s">
        <v>15</v>
      </c>
      <c r="B175" s="1" t="s">
        <v>385</v>
      </c>
      <c r="C175" s="1" t="s">
        <v>398</v>
      </c>
      <c r="D175" s="1" t="s">
        <v>399</v>
      </c>
      <c r="E175" s="1" t="s">
        <v>384</v>
      </c>
      <c r="F175" s="1">
        <v>1990</v>
      </c>
      <c r="G175" s="1">
        <v>3</v>
      </c>
      <c r="H175" s="1">
        <v>4.5</v>
      </c>
      <c r="I175" s="1">
        <v>0</v>
      </c>
      <c r="J175" s="1" t="s">
        <v>29</v>
      </c>
      <c r="K175" s="1" t="s">
        <v>20</v>
      </c>
      <c r="L175" t="s">
        <v>345</v>
      </c>
      <c r="M175" s="1" t="s">
        <v>19</v>
      </c>
      <c r="N175" s="1">
        <v>0.01</v>
      </c>
      <c r="O175" s="1" t="s">
        <v>37</v>
      </c>
    </row>
    <row r="176" spans="1:15" x14ac:dyDescent="0.3">
      <c r="A176" t="s">
        <v>15</v>
      </c>
      <c r="B176" s="1" t="s">
        <v>385</v>
      </c>
      <c r="C176" s="1" t="s">
        <v>400</v>
      </c>
      <c r="D176" s="1" t="s">
        <v>401</v>
      </c>
      <c r="E176" s="1" t="s">
        <v>27</v>
      </c>
      <c r="F176" s="1">
        <v>-820</v>
      </c>
      <c r="G176" s="1">
        <v>1</v>
      </c>
      <c r="H176" s="1">
        <v>4.8</v>
      </c>
      <c r="I176" s="1">
        <v>0</v>
      </c>
      <c r="J176" s="1" t="s">
        <v>29</v>
      </c>
      <c r="K176" s="1" t="s">
        <v>20</v>
      </c>
      <c r="L176" t="s">
        <v>28</v>
      </c>
      <c r="M176" s="1" t="s">
        <v>29</v>
      </c>
      <c r="N176" s="1">
        <v>0.28999999999999998</v>
      </c>
      <c r="O176" s="1" t="s">
        <v>51</v>
      </c>
    </row>
    <row r="177" spans="1:15" x14ac:dyDescent="0.3">
      <c r="A177" t="s">
        <v>15</v>
      </c>
      <c r="B177" s="1" t="s">
        <v>385</v>
      </c>
      <c r="C177" s="1" t="s">
        <v>402</v>
      </c>
      <c r="D177" s="1" t="s">
        <v>403</v>
      </c>
      <c r="E177" s="1" t="s">
        <v>190</v>
      </c>
      <c r="F177" s="1">
        <v>1988</v>
      </c>
      <c r="G177" s="1">
        <v>2</v>
      </c>
      <c r="H177" s="1">
        <v>4.3</v>
      </c>
      <c r="I177" s="1">
        <v>150</v>
      </c>
      <c r="J177" s="1" t="s">
        <v>29</v>
      </c>
      <c r="K177" s="1" t="s">
        <v>20</v>
      </c>
      <c r="L177" t="s">
        <v>73</v>
      </c>
      <c r="M177" s="1" t="s">
        <v>19</v>
      </c>
      <c r="N177" s="1">
        <v>0.01</v>
      </c>
      <c r="O177" s="1" t="s">
        <v>51</v>
      </c>
    </row>
    <row r="178" spans="1:15" x14ac:dyDescent="0.3">
      <c r="A178" t="s">
        <v>15</v>
      </c>
      <c r="B178" s="1" t="s">
        <v>385</v>
      </c>
      <c r="C178" s="1" t="s">
        <v>404</v>
      </c>
      <c r="D178" s="1" t="s">
        <v>405</v>
      </c>
      <c r="E178" s="1" t="s">
        <v>406</v>
      </c>
      <c r="F178" s="1">
        <v>1868</v>
      </c>
      <c r="G178" s="1">
        <v>1</v>
      </c>
      <c r="H178" s="1">
        <v>4</v>
      </c>
      <c r="I178" s="1">
        <v>50</v>
      </c>
      <c r="J178" s="1" t="s">
        <v>29</v>
      </c>
      <c r="K178" s="1" t="s">
        <v>20</v>
      </c>
      <c r="L178" t="s">
        <v>80</v>
      </c>
      <c r="M178" s="1" t="s">
        <v>19</v>
      </c>
      <c r="N178" s="1">
        <v>2.5000000000000001E-2</v>
      </c>
      <c r="O178" s="1" t="s">
        <v>51</v>
      </c>
    </row>
    <row r="179" spans="1:15" x14ac:dyDescent="0.3">
      <c r="A179" t="s">
        <v>15</v>
      </c>
      <c r="B179" s="1" t="s">
        <v>385</v>
      </c>
      <c r="C179" s="1" t="s">
        <v>407</v>
      </c>
      <c r="D179" s="1" t="s">
        <v>408</v>
      </c>
      <c r="E179" s="1" t="s">
        <v>72</v>
      </c>
      <c r="F179" s="1">
        <v>1936</v>
      </c>
      <c r="G179" s="1">
        <v>3</v>
      </c>
      <c r="H179" s="1">
        <v>4.4000000000000004</v>
      </c>
      <c r="I179" s="1">
        <v>100</v>
      </c>
      <c r="J179" s="1" t="s">
        <v>19</v>
      </c>
      <c r="K179" s="1" t="s">
        <v>20</v>
      </c>
      <c r="L179" t="s">
        <v>73</v>
      </c>
      <c r="M179" s="1" t="s">
        <v>19</v>
      </c>
      <c r="N179" s="1">
        <v>0.3</v>
      </c>
      <c r="O179" s="1" t="s">
        <v>51</v>
      </c>
    </row>
    <row r="180" spans="1:15" x14ac:dyDescent="0.3">
      <c r="A180" t="s">
        <v>15</v>
      </c>
      <c r="B180" s="1" t="s">
        <v>385</v>
      </c>
      <c r="C180" s="1" t="s">
        <v>409</v>
      </c>
      <c r="D180" s="1" t="s">
        <v>410</v>
      </c>
      <c r="E180" s="1" t="s">
        <v>27</v>
      </c>
      <c r="F180" s="1">
        <v>1751</v>
      </c>
      <c r="G180" s="1">
        <v>1</v>
      </c>
      <c r="H180" s="1">
        <v>4.8</v>
      </c>
      <c r="I180" s="1">
        <v>0</v>
      </c>
      <c r="J180" s="1" t="s">
        <v>29</v>
      </c>
      <c r="K180" s="1" t="s">
        <v>20</v>
      </c>
      <c r="L180" t="s">
        <v>28</v>
      </c>
      <c r="M180" s="1" t="s">
        <v>29</v>
      </c>
      <c r="N180" s="1">
        <v>0.05</v>
      </c>
      <c r="O180" s="1" t="s">
        <v>51</v>
      </c>
    </row>
    <row r="181" spans="1:15" x14ac:dyDescent="0.3">
      <c r="A181" t="s">
        <v>15</v>
      </c>
      <c r="B181" s="1" t="s">
        <v>385</v>
      </c>
      <c r="C181" s="1" t="s">
        <v>411</v>
      </c>
      <c r="D181" s="1" t="s">
        <v>412</v>
      </c>
      <c r="E181" s="1" t="s">
        <v>27</v>
      </c>
      <c r="F181" s="1">
        <v>751</v>
      </c>
      <c r="G181" s="1">
        <v>2</v>
      </c>
      <c r="H181" s="1">
        <v>4.8</v>
      </c>
      <c r="I181" s="1">
        <v>0</v>
      </c>
      <c r="J181" s="1" t="s">
        <v>29</v>
      </c>
      <c r="K181" s="1" t="s">
        <v>20</v>
      </c>
      <c r="L181" t="s">
        <v>28</v>
      </c>
      <c r="M181" s="1" t="s">
        <v>29</v>
      </c>
      <c r="N181" s="1">
        <v>0.09</v>
      </c>
      <c r="O181" s="1" t="s">
        <v>51</v>
      </c>
    </row>
    <row r="182" spans="1:15" x14ac:dyDescent="0.3">
      <c r="A182" t="s">
        <v>15</v>
      </c>
      <c r="B182" s="1" t="s">
        <v>385</v>
      </c>
      <c r="C182" s="1" t="s">
        <v>413</v>
      </c>
      <c r="D182" s="1" t="s">
        <v>414</v>
      </c>
      <c r="E182" s="1" t="s">
        <v>72</v>
      </c>
      <c r="F182" s="1">
        <v>1982</v>
      </c>
      <c r="G182" s="1">
        <v>5</v>
      </c>
      <c r="H182" s="1">
        <v>4.7</v>
      </c>
      <c r="I182" s="1">
        <v>150</v>
      </c>
      <c r="J182" s="1" t="s">
        <v>29</v>
      </c>
      <c r="K182" s="1" t="s">
        <v>20</v>
      </c>
      <c r="L182" t="s">
        <v>94</v>
      </c>
      <c r="M182" s="1" t="s">
        <v>19</v>
      </c>
      <c r="N182" s="1">
        <v>3.5000000000000003E-2</v>
      </c>
      <c r="O182" s="1" t="s">
        <v>37</v>
      </c>
    </row>
    <row r="183" spans="1:15" x14ac:dyDescent="0.3">
      <c r="A183" t="s">
        <v>306</v>
      </c>
      <c r="B183" s="1" t="s">
        <v>415</v>
      </c>
      <c r="C183" s="1" t="s">
        <v>416</v>
      </c>
      <c r="D183" s="1" t="s">
        <v>417</v>
      </c>
      <c r="E183" s="1" t="s">
        <v>272</v>
      </c>
      <c r="F183" s="1">
        <v>1632</v>
      </c>
      <c r="G183" s="1">
        <v>2</v>
      </c>
      <c r="H183" s="1">
        <v>4.5999999999999996</v>
      </c>
      <c r="I183" s="1">
        <v>50</v>
      </c>
      <c r="J183" s="1" t="s">
        <v>19</v>
      </c>
      <c r="K183" s="1" t="s">
        <v>57</v>
      </c>
      <c r="L183" t="s">
        <v>21</v>
      </c>
      <c r="M183" s="1" t="s">
        <v>19</v>
      </c>
      <c r="N183" s="1">
        <v>2.25</v>
      </c>
      <c r="O183" s="1" t="s">
        <v>37</v>
      </c>
    </row>
    <row r="184" spans="1:15" x14ac:dyDescent="0.3">
      <c r="A184" t="s">
        <v>306</v>
      </c>
      <c r="B184" s="1" t="s">
        <v>415</v>
      </c>
      <c r="C184" s="1" t="s">
        <v>418</v>
      </c>
      <c r="D184" s="1" t="s">
        <v>419</v>
      </c>
      <c r="E184" s="1" t="s">
        <v>27</v>
      </c>
      <c r="F184" s="1" t="s">
        <v>67</v>
      </c>
      <c r="G184" s="1">
        <v>1</v>
      </c>
      <c r="H184" s="1">
        <v>4.7</v>
      </c>
      <c r="I184" s="1">
        <v>0</v>
      </c>
      <c r="J184" s="1" t="s">
        <v>19</v>
      </c>
      <c r="K184" s="1" t="s">
        <v>20</v>
      </c>
      <c r="L184" t="s">
        <v>28</v>
      </c>
      <c r="M184" s="1" t="s">
        <v>29</v>
      </c>
      <c r="N184" s="1">
        <v>0.9</v>
      </c>
      <c r="O184" s="1" t="s">
        <v>51</v>
      </c>
    </row>
    <row r="185" spans="1:15" x14ac:dyDescent="0.3">
      <c r="A185" t="s">
        <v>306</v>
      </c>
      <c r="B185" s="1" t="s">
        <v>415</v>
      </c>
      <c r="C185" s="1" t="s">
        <v>420</v>
      </c>
      <c r="D185" s="1" t="s">
        <v>421</v>
      </c>
      <c r="E185" s="1" t="s">
        <v>59</v>
      </c>
      <c r="F185" s="1">
        <v>1784</v>
      </c>
      <c r="G185" s="1">
        <v>1.5</v>
      </c>
      <c r="H185" s="1">
        <v>4.4000000000000004</v>
      </c>
      <c r="I185" s="1">
        <v>50</v>
      </c>
      <c r="J185" s="1" t="s">
        <v>19</v>
      </c>
      <c r="K185" s="1" t="s">
        <v>32</v>
      </c>
      <c r="L185" t="s">
        <v>21</v>
      </c>
      <c r="M185" s="1" t="s">
        <v>29</v>
      </c>
      <c r="N185" s="1">
        <v>0.45</v>
      </c>
      <c r="O185" s="1" t="s">
        <v>51</v>
      </c>
    </row>
    <row r="186" spans="1:15" x14ac:dyDescent="0.3">
      <c r="A186" t="s">
        <v>306</v>
      </c>
      <c r="B186" s="1" t="s">
        <v>415</v>
      </c>
      <c r="C186" s="1" t="s">
        <v>422</v>
      </c>
      <c r="D186" s="1" t="s">
        <v>423</v>
      </c>
      <c r="E186" s="1" t="s">
        <v>27</v>
      </c>
      <c r="F186" s="1" t="s">
        <v>67</v>
      </c>
      <c r="G186" s="1">
        <v>1</v>
      </c>
      <c r="H186" s="1">
        <v>4.7</v>
      </c>
      <c r="I186" s="1">
        <v>0</v>
      </c>
      <c r="J186" s="1" t="s">
        <v>19</v>
      </c>
      <c r="K186" s="1" t="s">
        <v>20</v>
      </c>
      <c r="L186" t="s">
        <v>28</v>
      </c>
      <c r="M186" s="1" t="s">
        <v>29</v>
      </c>
      <c r="N186" s="1">
        <v>0.13</v>
      </c>
      <c r="O186" s="1" t="s">
        <v>51</v>
      </c>
    </row>
    <row r="187" spans="1:15" x14ac:dyDescent="0.3">
      <c r="A187" t="s">
        <v>306</v>
      </c>
      <c r="B187" s="1" t="s">
        <v>415</v>
      </c>
      <c r="C187" s="1" t="s">
        <v>424</v>
      </c>
      <c r="D187" s="1" t="s">
        <v>425</v>
      </c>
      <c r="E187" s="1" t="s">
        <v>210</v>
      </c>
      <c r="F187" s="1" t="s">
        <v>67</v>
      </c>
      <c r="G187" s="1">
        <v>1</v>
      </c>
      <c r="H187" s="1">
        <v>4.8</v>
      </c>
      <c r="I187" s="1">
        <v>0</v>
      </c>
      <c r="J187" s="1" t="s">
        <v>19</v>
      </c>
      <c r="K187" s="1" t="s">
        <v>20</v>
      </c>
      <c r="L187" t="s">
        <v>28</v>
      </c>
      <c r="M187" s="1" t="s">
        <v>29</v>
      </c>
      <c r="N187" s="1">
        <v>2.5000000000000001E-2</v>
      </c>
      <c r="O187" s="1" t="s">
        <v>51</v>
      </c>
    </row>
    <row r="188" spans="1:15" x14ac:dyDescent="0.3">
      <c r="A188" t="s">
        <v>306</v>
      </c>
      <c r="B188" s="1" t="s">
        <v>415</v>
      </c>
      <c r="C188" s="1" t="s">
        <v>426</v>
      </c>
      <c r="D188" s="1" t="s">
        <v>427</v>
      </c>
      <c r="E188" s="1" t="s">
        <v>27</v>
      </c>
      <c r="F188" s="1">
        <v>1864</v>
      </c>
      <c r="G188" s="1">
        <v>1</v>
      </c>
      <c r="H188" s="1">
        <v>4.8</v>
      </c>
      <c r="I188" s="1">
        <v>0</v>
      </c>
      <c r="J188" s="1" t="s">
        <v>19</v>
      </c>
      <c r="K188" s="1" t="s">
        <v>20</v>
      </c>
      <c r="L188" t="s">
        <v>28</v>
      </c>
      <c r="M188" s="1" t="s">
        <v>29</v>
      </c>
      <c r="N188" s="1">
        <v>0.37</v>
      </c>
      <c r="O188" s="1" t="s">
        <v>51</v>
      </c>
    </row>
    <row r="189" spans="1:15" x14ac:dyDescent="0.3">
      <c r="A189" t="s">
        <v>306</v>
      </c>
      <c r="B189" s="1" t="s">
        <v>415</v>
      </c>
      <c r="C189" s="1" t="s">
        <v>428</v>
      </c>
      <c r="D189" s="1" t="s">
        <v>429</v>
      </c>
      <c r="E189" s="1" t="s">
        <v>430</v>
      </c>
      <c r="F189" s="1" t="s">
        <v>67</v>
      </c>
      <c r="G189" s="1">
        <v>1</v>
      </c>
      <c r="H189" s="1">
        <v>4.5</v>
      </c>
      <c r="I189" s="1">
        <v>0</v>
      </c>
      <c r="J189" s="1" t="s">
        <v>19</v>
      </c>
      <c r="K189" s="1" t="s">
        <v>20</v>
      </c>
      <c r="L189" t="s">
        <v>28</v>
      </c>
      <c r="M189" s="1" t="s">
        <v>19</v>
      </c>
      <c r="N189" s="1">
        <v>0.09</v>
      </c>
      <c r="O189" s="1" t="s">
        <v>37</v>
      </c>
    </row>
    <row r="190" spans="1:15" x14ac:dyDescent="0.3">
      <c r="A190" t="s">
        <v>306</v>
      </c>
      <c r="B190" s="1" t="s">
        <v>415</v>
      </c>
      <c r="C190" s="1" t="s">
        <v>431</v>
      </c>
      <c r="D190" s="1" t="s">
        <v>432</v>
      </c>
      <c r="E190" s="1" t="s">
        <v>43</v>
      </c>
      <c r="F190" s="1">
        <v>1613</v>
      </c>
      <c r="G190" s="1">
        <v>1.5</v>
      </c>
      <c r="H190" s="1">
        <v>4.4000000000000004</v>
      </c>
      <c r="I190" s="1">
        <v>15</v>
      </c>
      <c r="J190" s="1" t="s">
        <v>19</v>
      </c>
      <c r="K190" s="1" t="s">
        <v>20</v>
      </c>
      <c r="L190" t="s">
        <v>21</v>
      </c>
      <c r="M190" s="1" t="s">
        <v>19</v>
      </c>
      <c r="N190" s="1">
        <v>0.25</v>
      </c>
      <c r="O190" s="1" t="s">
        <v>51</v>
      </c>
    </row>
    <row r="191" spans="1:15" x14ac:dyDescent="0.3">
      <c r="A191" t="s">
        <v>306</v>
      </c>
      <c r="B191" s="1" t="s">
        <v>415</v>
      </c>
      <c r="C191" s="1" t="s">
        <v>433</v>
      </c>
      <c r="D191" s="1" t="s">
        <v>434</v>
      </c>
      <c r="E191" s="1" t="s">
        <v>59</v>
      </c>
      <c r="F191" s="1">
        <v>-500</v>
      </c>
      <c r="G191" s="1">
        <v>1</v>
      </c>
      <c r="H191" s="1">
        <v>4.5999999999999996</v>
      </c>
      <c r="I191" s="1">
        <v>5</v>
      </c>
      <c r="J191" s="1" t="s">
        <v>19</v>
      </c>
      <c r="K191" s="1" t="s">
        <v>20</v>
      </c>
      <c r="L191" t="s">
        <v>21</v>
      </c>
      <c r="M191" s="1" t="s">
        <v>19</v>
      </c>
      <c r="N191" s="1">
        <v>6.5000000000000002E-2</v>
      </c>
      <c r="O191" s="1" t="s">
        <v>51</v>
      </c>
    </row>
    <row r="192" spans="1:15" x14ac:dyDescent="0.3">
      <c r="A192" t="s">
        <v>306</v>
      </c>
      <c r="B192" s="1" t="s">
        <v>415</v>
      </c>
      <c r="C192" s="1" t="s">
        <v>435</v>
      </c>
      <c r="D192" s="1" t="s">
        <v>436</v>
      </c>
      <c r="E192" s="1" t="s">
        <v>59</v>
      </c>
      <c r="F192" s="1">
        <v>1571</v>
      </c>
      <c r="G192" s="1">
        <v>2</v>
      </c>
      <c r="H192" s="1">
        <v>4.4000000000000004</v>
      </c>
      <c r="I192" s="1">
        <v>40</v>
      </c>
      <c r="J192" s="1" t="s">
        <v>19</v>
      </c>
      <c r="K192" s="1" t="s">
        <v>20</v>
      </c>
      <c r="L192" t="s">
        <v>21</v>
      </c>
      <c r="M192" s="1" t="s">
        <v>19</v>
      </c>
      <c r="N192" s="1">
        <v>7.0000000000000007E-2</v>
      </c>
      <c r="O192" s="1" t="s">
        <v>25</v>
      </c>
    </row>
    <row r="193" spans="1:15" x14ac:dyDescent="0.3">
      <c r="A193" t="s">
        <v>306</v>
      </c>
      <c r="B193" s="1" t="s">
        <v>415</v>
      </c>
      <c r="C193" s="1" t="s">
        <v>437</v>
      </c>
      <c r="D193" s="1" t="s">
        <v>438</v>
      </c>
      <c r="E193" s="1" t="s">
        <v>153</v>
      </c>
      <c r="F193" s="1">
        <v>1990</v>
      </c>
      <c r="G193" s="1">
        <v>1.5</v>
      </c>
      <c r="H193" s="1">
        <v>4.3</v>
      </c>
      <c r="I193" s="1">
        <v>30</v>
      </c>
      <c r="J193" s="1" t="s">
        <v>19</v>
      </c>
      <c r="K193" s="1" t="s">
        <v>20</v>
      </c>
      <c r="L193" t="s">
        <v>73</v>
      </c>
      <c r="M193" s="1" t="s">
        <v>19</v>
      </c>
      <c r="N193" s="1">
        <v>3.5000000000000003E-2</v>
      </c>
      <c r="O193" s="1" t="s">
        <v>51</v>
      </c>
    </row>
    <row r="194" spans="1:15" x14ac:dyDescent="0.3">
      <c r="A194" t="s">
        <v>306</v>
      </c>
      <c r="B194" s="1" t="s">
        <v>415</v>
      </c>
      <c r="C194" s="1" t="s">
        <v>439</v>
      </c>
      <c r="D194" s="1" t="s">
        <v>440</v>
      </c>
      <c r="E194" s="1" t="s">
        <v>43</v>
      </c>
      <c r="F194" s="1">
        <v>1524</v>
      </c>
      <c r="G194" s="1">
        <v>1</v>
      </c>
      <c r="H194" s="1">
        <v>4.0999999999999996</v>
      </c>
      <c r="I194" s="1">
        <v>20</v>
      </c>
      <c r="J194" s="1" t="s">
        <v>19</v>
      </c>
      <c r="K194" s="1" t="s">
        <v>20</v>
      </c>
      <c r="L194" t="s">
        <v>21</v>
      </c>
      <c r="M194" s="1" t="s">
        <v>19</v>
      </c>
      <c r="N194" s="1">
        <v>1.6500000000000001E-2</v>
      </c>
      <c r="O194" s="1" t="s">
        <v>25</v>
      </c>
    </row>
    <row r="195" spans="1:15" x14ac:dyDescent="0.3">
      <c r="A195" t="s">
        <v>306</v>
      </c>
      <c r="B195" s="1" t="s">
        <v>415</v>
      </c>
      <c r="C195" s="1" t="s">
        <v>441</v>
      </c>
      <c r="D195" s="1" t="s">
        <v>442</v>
      </c>
      <c r="E195" s="1" t="s">
        <v>27</v>
      </c>
      <c r="F195" s="1" t="s">
        <v>67</v>
      </c>
      <c r="G195" s="1">
        <v>1</v>
      </c>
      <c r="H195" s="1">
        <v>4.8</v>
      </c>
      <c r="I195" s="1">
        <v>0</v>
      </c>
      <c r="J195" s="1" t="s">
        <v>19</v>
      </c>
      <c r="K195" s="1" t="s">
        <v>20</v>
      </c>
      <c r="L195" t="s">
        <v>28</v>
      </c>
      <c r="M195" s="1" t="s">
        <v>29</v>
      </c>
      <c r="N195" s="1">
        <v>4.4999999999999998E-2</v>
      </c>
      <c r="O195" s="1" t="s">
        <v>51</v>
      </c>
    </row>
    <row r="196" spans="1:15" x14ac:dyDescent="0.3">
      <c r="A196" t="s">
        <v>306</v>
      </c>
      <c r="B196" s="1" t="s">
        <v>415</v>
      </c>
      <c r="C196" s="1" t="s">
        <v>443</v>
      </c>
      <c r="D196" s="1" t="s">
        <v>444</v>
      </c>
      <c r="E196" s="1" t="s">
        <v>56</v>
      </c>
      <c r="F196" s="1">
        <v>1971</v>
      </c>
      <c r="G196" s="1">
        <v>2</v>
      </c>
      <c r="H196" s="1">
        <v>4.2</v>
      </c>
      <c r="I196" s="1">
        <v>150</v>
      </c>
      <c r="J196" s="1" t="s">
        <v>19</v>
      </c>
      <c r="K196" s="1" t="s">
        <v>32</v>
      </c>
      <c r="L196" t="s">
        <v>73</v>
      </c>
      <c r="M196" s="1" t="s">
        <v>19</v>
      </c>
      <c r="N196" s="1">
        <v>0.21</v>
      </c>
      <c r="O196" s="1" t="s">
        <v>51</v>
      </c>
    </row>
    <row r="197" spans="1:15" x14ac:dyDescent="0.3">
      <c r="A197" t="s">
        <v>15</v>
      </c>
      <c r="B197" s="1" t="s">
        <v>445</v>
      </c>
      <c r="C197" s="1" t="s">
        <v>446</v>
      </c>
      <c r="D197" s="1" t="s">
        <v>447</v>
      </c>
      <c r="E197" s="1" t="s">
        <v>106</v>
      </c>
      <c r="F197" s="1" t="s">
        <v>67</v>
      </c>
      <c r="G197" s="1">
        <v>2</v>
      </c>
      <c r="H197" s="1">
        <v>4.5999999999999996</v>
      </c>
      <c r="I197" s="1">
        <v>0</v>
      </c>
      <c r="J197" s="1" t="s">
        <v>19</v>
      </c>
      <c r="K197" s="1" t="s">
        <v>20</v>
      </c>
      <c r="L197" t="s">
        <v>94</v>
      </c>
      <c r="M197" s="1" t="s">
        <v>19</v>
      </c>
      <c r="N197" s="1">
        <v>0.15</v>
      </c>
      <c r="O197" s="1" t="s">
        <v>37</v>
      </c>
    </row>
    <row r="198" spans="1:15" x14ac:dyDescent="0.3">
      <c r="A198" t="s">
        <v>15</v>
      </c>
      <c r="B198" s="1" t="s">
        <v>448</v>
      </c>
      <c r="C198" s="1" t="s">
        <v>449</v>
      </c>
      <c r="D198" s="1" t="s">
        <v>450</v>
      </c>
      <c r="E198" s="1" t="s">
        <v>106</v>
      </c>
      <c r="F198" s="1" t="s">
        <v>67</v>
      </c>
      <c r="G198" s="1">
        <v>2</v>
      </c>
      <c r="H198" s="1">
        <v>4.9000000000000004</v>
      </c>
      <c r="I198" s="1">
        <v>20</v>
      </c>
      <c r="J198" s="1" t="s">
        <v>19</v>
      </c>
      <c r="K198" s="1" t="s">
        <v>20</v>
      </c>
      <c r="L198" t="s">
        <v>94</v>
      </c>
      <c r="M198" s="1" t="s">
        <v>19</v>
      </c>
      <c r="N198" s="1">
        <v>0.15</v>
      </c>
      <c r="O198" s="1" t="s">
        <v>37</v>
      </c>
    </row>
    <row r="199" spans="1:15" x14ac:dyDescent="0.3">
      <c r="A199" t="s">
        <v>15</v>
      </c>
      <c r="B199" s="1" t="s">
        <v>445</v>
      </c>
      <c r="C199" s="1" t="s">
        <v>451</v>
      </c>
      <c r="D199" s="1" t="s">
        <v>452</v>
      </c>
      <c r="E199" s="1" t="s">
        <v>300</v>
      </c>
      <c r="F199" s="1" t="s">
        <v>67</v>
      </c>
      <c r="G199" s="1">
        <v>2</v>
      </c>
      <c r="H199" s="1">
        <v>4.5999999999999996</v>
      </c>
      <c r="I199" s="1">
        <v>100</v>
      </c>
      <c r="J199" s="1" t="s">
        <v>29</v>
      </c>
      <c r="K199" s="1" t="s">
        <v>20</v>
      </c>
      <c r="L199" t="s">
        <v>94</v>
      </c>
      <c r="M199" s="1" t="s">
        <v>19</v>
      </c>
      <c r="N199" s="1">
        <v>0.11</v>
      </c>
      <c r="O199" s="1" t="s">
        <v>51</v>
      </c>
    </row>
    <row r="200" spans="1:15" x14ac:dyDescent="0.3">
      <c r="A200" t="s">
        <v>15</v>
      </c>
      <c r="B200" s="1" t="s">
        <v>445</v>
      </c>
      <c r="C200" s="1" t="s">
        <v>453</v>
      </c>
      <c r="D200" s="1" t="s">
        <v>454</v>
      </c>
      <c r="E200" s="1" t="s">
        <v>27</v>
      </c>
      <c r="F200" s="1" t="s">
        <v>67</v>
      </c>
      <c r="G200" s="1">
        <v>5</v>
      </c>
      <c r="H200" s="1">
        <v>4.7</v>
      </c>
      <c r="I200" s="1">
        <v>0</v>
      </c>
      <c r="J200" s="1" t="s">
        <v>19</v>
      </c>
      <c r="K200" s="1" t="s">
        <v>20</v>
      </c>
      <c r="L200" t="s">
        <v>28</v>
      </c>
      <c r="M200" s="1" t="s">
        <v>29</v>
      </c>
      <c r="N200" s="1">
        <v>0.55000000000000004</v>
      </c>
      <c r="O200" s="1" t="s">
        <v>51</v>
      </c>
    </row>
    <row r="201" spans="1:15" x14ac:dyDescent="0.3">
      <c r="A201" t="s">
        <v>15</v>
      </c>
      <c r="B201" s="1" t="s">
        <v>445</v>
      </c>
      <c r="C201" s="1" t="s">
        <v>455</v>
      </c>
      <c r="D201" s="1" t="s">
        <v>456</v>
      </c>
      <c r="E201" s="1" t="s">
        <v>457</v>
      </c>
      <c r="F201" s="1" t="s">
        <v>67</v>
      </c>
      <c r="G201" s="1">
        <v>2</v>
      </c>
      <c r="H201" s="1">
        <v>4.0999999999999996</v>
      </c>
      <c r="I201" s="1">
        <v>0</v>
      </c>
      <c r="J201" s="1" t="s">
        <v>29</v>
      </c>
      <c r="K201" s="1" t="s">
        <v>20</v>
      </c>
      <c r="L201" t="s">
        <v>80</v>
      </c>
      <c r="M201" s="1" t="s">
        <v>19</v>
      </c>
      <c r="N201" s="1">
        <v>0.01</v>
      </c>
      <c r="O201" s="1" t="s">
        <v>51</v>
      </c>
    </row>
    <row r="202" spans="1:15" x14ac:dyDescent="0.3">
      <c r="A202" t="s">
        <v>15</v>
      </c>
      <c r="B202" s="1" t="s">
        <v>445</v>
      </c>
      <c r="C202" s="1" t="s">
        <v>458</v>
      </c>
      <c r="D202" s="1" t="s">
        <v>459</v>
      </c>
      <c r="E202" s="1" t="s">
        <v>27</v>
      </c>
      <c r="F202" s="1" t="s">
        <v>67</v>
      </c>
      <c r="G202" s="1">
        <v>6</v>
      </c>
      <c r="H202" s="1">
        <v>4.5</v>
      </c>
      <c r="I202" s="1">
        <v>0</v>
      </c>
      <c r="J202" s="1" t="s">
        <v>29</v>
      </c>
      <c r="K202" s="1" t="s">
        <v>20</v>
      </c>
      <c r="L202" t="s">
        <v>28</v>
      </c>
      <c r="M202" s="1" t="s">
        <v>19</v>
      </c>
      <c r="N202" s="1">
        <v>0.11</v>
      </c>
      <c r="O202" s="1" t="s">
        <v>51</v>
      </c>
    </row>
    <row r="203" spans="1:15" x14ac:dyDescent="0.3">
      <c r="A203" t="s">
        <v>15</v>
      </c>
      <c r="B203" s="1" t="s">
        <v>448</v>
      </c>
      <c r="C203" s="1" t="s">
        <v>449</v>
      </c>
      <c r="D203" s="1" t="s">
        <v>460</v>
      </c>
      <c r="E203" s="1" t="s">
        <v>352</v>
      </c>
      <c r="F203" s="1">
        <v>1430</v>
      </c>
      <c r="G203" s="1">
        <v>1.5</v>
      </c>
      <c r="H203" s="1">
        <v>4.7</v>
      </c>
      <c r="I203" s="1">
        <v>20</v>
      </c>
      <c r="J203" s="1" t="s">
        <v>19</v>
      </c>
      <c r="K203" s="1" t="s">
        <v>20</v>
      </c>
      <c r="L203" t="s">
        <v>28</v>
      </c>
      <c r="M203" s="1" t="s">
        <v>29</v>
      </c>
      <c r="N203" s="1">
        <v>0.05</v>
      </c>
      <c r="O203" s="1" t="s">
        <v>51</v>
      </c>
    </row>
    <row r="204" spans="1:15" x14ac:dyDescent="0.3">
      <c r="A204" t="s">
        <v>15</v>
      </c>
      <c r="B204" s="1" t="s">
        <v>448</v>
      </c>
      <c r="C204" s="1" t="s">
        <v>461</v>
      </c>
      <c r="D204" s="1" t="s">
        <v>461</v>
      </c>
      <c r="E204" s="1" t="s">
        <v>300</v>
      </c>
      <c r="F204" s="1" t="s">
        <v>67</v>
      </c>
      <c r="G204" s="1">
        <v>2</v>
      </c>
      <c r="H204" s="1">
        <v>4.5</v>
      </c>
      <c r="I204" s="1">
        <v>0</v>
      </c>
      <c r="J204" s="1" t="s">
        <v>29</v>
      </c>
      <c r="K204" s="1" t="s">
        <v>20</v>
      </c>
      <c r="L204" t="s">
        <v>94</v>
      </c>
      <c r="M204" s="1" t="s">
        <v>19</v>
      </c>
      <c r="N204" s="1">
        <v>0.1</v>
      </c>
      <c r="O204" s="1" t="s">
        <v>51</v>
      </c>
    </row>
    <row r="205" spans="1:15" x14ac:dyDescent="0.3">
      <c r="A205" t="s">
        <v>15</v>
      </c>
      <c r="B205" s="1" t="s">
        <v>448</v>
      </c>
      <c r="C205" s="1" t="s">
        <v>462</v>
      </c>
      <c r="D205" s="1" t="s">
        <v>463</v>
      </c>
      <c r="E205" s="1" t="s">
        <v>18</v>
      </c>
      <c r="F205" s="1">
        <v>24</v>
      </c>
      <c r="G205" s="1">
        <v>1</v>
      </c>
      <c r="H205" s="1">
        <v>4.8</v>
      </c>
      <c r="I205" s="1">
        <v>0</v>
      </c>
      <c r="J205" s="1" t="s">
        <v>29</v>
      </c>
      <c r="K205" s="1" t="s">
        <v>20</v>
      </c>
      <c r="L205" t="s">
        <v>21</v>
      </c>
      <c r="M205" s="1" t="s">
        <v>19</v>
      </c>
      <c r="N205" s="1">
        <v>1.0999999999999999E-2</v>
      </c>
      <c r="O205" s="1" t="s">
        <v>51</v>
      </c>
    </row>
    <row r="206" spans="1:15" x14ac:dyDescent="0.3">
      <c r="A206" t="s">
        <v>15</v>
      </c>
      <c r="B206" s="1" t="s">
        <v>448</v>
      </c>
      <c r="C206" s="1" t="s">
        <v>464</v>
      </c>
      <c r="D206" s="1" t="s">
        <v>465</v>
      </c>
      <c r="E206" s="1" t="s">
        <v>352</v>
      </c>
      <c r="F206" s="1">
        <v>1351</v>
      </c>
      <c r="G206" s="1">
        <v>1</v>
      </c>
      <c r="H206" s="1">
        <v>4.7</v>
      </c>
      <c r="I206" s="1">
        <v>20</v>
      </c>
      <c r="J206" s="1" t="s">
        <v>29</v>
      </c>
      <c r="K206" s="1" t="s">
        <v>20</v>
      </c>
      <c r="L206" t="s">
        <v>28</v>
      </c>
      <c r="M206" s="1" t="s">
        <v>29</v>
      </c>
      <c r="N206" s="1">
        <v>1.4999999999999999E-2</v>
      </c>
      <c r="O206" s="1" t="s">
        <v>37</v>
      </c>
    </row>
    <row r="207" spans="1:15" x14ac:dyDescent="0.3">
      <c r="A207" t="s">
        <v>15</v>
      </c>
      <c r="B207" s="1" t="s">
        <v>445</v>
      </c>
      <c r="C207" s="1" t="s">
        <v>466</v>
      </c>
      <c r="D207" s="1" t="s">
        <v>467</v>
      </c>
      <c r="E207" s="1" t="s">
        <v>72</v>
      </c>
      <c r="F207" s="1">
        <v>1981</v>
      </c>
      <c r="G207" s="1">
        <v>3</v>
      </c>
      <c r="H207" s="1">
        <v>4.3</v>
      </c>
      <c r="I207" s="1">
        <v>100</v>
      </c>
      <c r="J207" s="1" t="s">
        <v>29</v>
      </c>
      <c r="K207" s="1" t="s">
        <v>20</v>
      </c>
      <c r="L207" t="s">
        <v>73</v>
      </c>
      <c r="M207" s="1" t="s">
        <v>19</v>
      </c>
      <c r="N207" s="1">
        <v>0.01</v>
      </c>
      <c r="O207" s="1" t="s">
        <v>51</v>
      </c>
    </row>
    <row r="208" spans="1:15" x14ac:dyDescent="0.3">
      <c r="A208" t="s">
        <v>15</v>
      </c>
      <c r="B208" s="1" t="s">
        <v>448</v>
      </c>
      <c r="C208" s="1" t="s">
        <v>468</v>
      </c>
      <c r="D208" s="1" t="s">
        <v>469</v>
      </c>
      <c r="E208" s="1" t="s">
        <v>72</v>
      </c>
      <c r="F208" s="1">
        <v>1981</v>
      </c>
      <c r="G208" s="1">
        <v>4</v>
      </c>
      <c r="H208" s="1">
        <v>4.4000000000000004</v>
      </c>
      <c r="I208" s="1">
        <v>20</v>
      </c>
      <c r="J208" s="1" t="s">
        <v>29</v>
      </c>
      <c r="K208" s="1" t="s">
        <v>20</v>
      </c>
      <c r="L208" t="s">
        <v>73</v>
      </c>
      <c r="M208" s="1" t="s">
        <v>19</v>
      </c>
      <c r="N208" s="1">
        <v>0.02</v>
      </c>
      <c r="O208" s="1" t="s">
        <v>51</v>
      </c>
    </row>
    <row r="209" spans="1:15" x14ac:dyDescent="0.3">
      <c r="A209" t="s">
        <v>15</v>
      </c>
      <c r="B209" s="1" t="s">
        <v>448</v>
      </c>
      <c r="C209" s="1" t="s">
        <v>470</v>
      </c>
      <c r="D209" s="1" t="s">
        <v>471</v>
      </c>
      <c r="E209" s="1" t="s">
        <v>18</v>
      </c>
      <c r="F209" s="1" t="s">
        <v>67</v>
      </c>
      <c r="G209" s="1">
        <v>1</v>
      </c>
      <c r="H209" s="1">
        <v>4.8</v>
      </c>
      <c r="I209" s="1">
        <v>0</v>
      </c>
      <c r="J209" s="1" t="s">
        <v>29</v>
      </c>
      <c r="K209" s="1" t="s">
        <v>20</v>
      </c>
      <c r="L209" t="s">
        <v>21</v>
      </c>
      <c r="M209" s="1" t="s">
        <v>19</v>
      </c>
      <c r="N209" s="1">
        <v>1.2E-2</v>
      </c>
      <c r="O209" s="1" t="s">
        <v>51</v>
      </c>
    </row>
    <row r="210" spans="1:15" x14ac:dyDescent="0.3">
      <c r="A210" t="s">
        <v>15</v>
      </c>
      <c r="B210" s="1" t="s">
        <v>448</v>
      </c>
      <c r="C210" s="1" t="s">
        <v>449</v>
      </c>
      <c r="D210" s="1" t="s">
        <v>472</v>
      </c>
      <c r="E210" s="1" t="s">
        <v>473</v>
      </c>
      <c r="F210" s="1" t="s">
        <v>67</v>
      </c>
      <c r="G210" s="1">
        <v>0.5</v>
      </c>
      <c r="H210" s="1">
        <v>3.7</v>
      </c>
      <c r="I210" s="1">
        <v>0</v>
      </c>
      <c r="J210" s="1" t="s">
        <v>19</v>
      </c>
      <c r="K210" s="1" t="s">
        <v>20</v>
      </c>
      <c r="L210" t="s">
        <v>94</v>
      </c>
      <c r="M210" s="1" t="s">
        <v>19</v>
      </c>
      <c r="N210" s="1">
        <v>0.1</v>
      </c>
      <c r="O210" s="1" t="s">
        <v>51</v>
      </c>
    </row>
    <row r="211" spans="1:15" x14ac:dyDescent="0.3">
      <c r="A211" t="s">
        <v>15</v>
      </c>
      <c r="B211" s="1" t="s">
        <v>448</v>
      </c>
      <c r="C211" s="1" t="s">
        <v>449</v>
      </c>
      <c r="D211" s="1" t="s">
        <v>474</v>
      </c>
      <c r="E211" s="1" t="s">
        <v>457</v>
      </c>
      <c r="F211" s="1" t="s">
        <v>67</v>
      </c>
      <c r="G211" s="1">
        <v>1</v>
      </c>
      <c r="H211" s="1">
        <v>4.5</v>
      </c>
      <c r="I211" s="1">
        <v>0</v>
      </c>
      <c r="J211" s="1" t="s">
        <v>19</v>
      </c>
      <c r="K211" s="1" t="s">
        <v>20</v>
      </c>
      <c r="L211" t="s">
        <v>345</v>
      </c>
      <c r="M211" s="1" t="s">
        <v>19</v>
      </c>
      <c r="N211" s="1">
        <v>0.05</v>
      </c>
      <c r="O211" s="1" t="s">
        <v>25</v>
      </c>
    </row>
    <row r="212" spans="1:15" x14ac:dyDescent="0.3">
      <c r="A212" t="s">
        <v>15</v>
      </c>
      <c r="B212" s="1" t="s">
        <v>448</v>
      </c>
      <c r="C212" s="1" t="s">
        <v>449</v>
      </c>
      <c r="D212" s="1" t="s">
        <v>460</v>
      </c>
      <c r="E212" s="1" t="s">
        <v>352</v>
      </c>
      <c r="F212" s="1">
        <v>1430</v>
      </c>
      <c r="G212" s="1">
        <v>1.5</v>
      </c>
      <c r="H212" s="1">
        <v>4.7</v>
      </c>
      <c r="I212" s="1">
        <v>30</v>
      </c>
      <c r="J212" s="1" t="s">
        <v>19</v>
      </c>
      <c r="K212" s="1" t="s">
        <v>20</v>
      </c>
      <c r="L212" t="s">
        <v>28</v>
      </c>
      <c r="M212" s="1" t="s">
        <v>29</v>
      </c>
      <c r="N212" s="1">
        <v>0.05</v>
      </c>
      <c r="O212" s="1" t="s">
        <v>51</v>
      </c>
    </row>
    <row r="213" spans="1:15" x14ac:dyDescent="0.3">
      <c r="A213" t="s">
        <v>306</v>
      </c>
      <c r="B213" s="1" t="s">
        <v>415</v>
      </c>
      <c r="C213" s="1" t="s">
        <v>426</v>
      </c>
      <c r="D213" s="1" t="s">
        <v>475</v>
      </c>
      <c r="E213" s="1" t="s">
        <v>27</v>
      </c>
      <c r="F213" s="1">
        <v>2012</v>
      </c>
      <c r="G213" s="1">
        <v>1.5</v>
      </c>
      <c r="H213" s="1">
        <v>4.8</v>
      </c>
      <c r="I213" s="1">
        <v>0</v>
      </c>
      <c r="J213" s="1" t="s">
        <v>19</v>
      </c>
      <c r="K213" s="1" t="s">
        <v>20</v>
      </c>
      <c r="L213" t="s">
        <v>28</v>
      </c>
      <c r="M213" s="1" t="s">
        <v>19</v>
      </c>
      <c r="N213" s="1">
        <v>0.49</v>
      </c>
      <c r="O213" s="1" t="s">
        <v>22</v>
      </c>
    </row>
    <row r="214" spans="1:15" x14ac:dyDescent="0.3">
      <c r="A214" t="s">
        <v>306</v>
      </c>
      <c r="B214" s="1" t="s">
        <v>415</v>
      </c>
      <c r="C214" s="1" t="s">
        <v>476</v>
      </c>
      <c r="D214" s="1" t="s">
        <v>477</v>
      </c>
      <c r="E214" s="1" t="s">
        <v>213</v>
      </c>
      <c r="F214" s="1">
        <v>1950</v>
      </c>
      <c r="G214" s="1">
        <v>1</v>
      </c>
      <c r="H214" s="1">
        <v>4.8</v>
      </c>
      <c r="I214" s="1">
        <v>0</v>
      </c>
      <c r="J214" s="1" t="s">
        <v>19</v>
      </c>
      <c r="K214" s="1" t="s">
        <v>20</v>
      </c>
      <c r="L214" t="s">
        <v>21</v>
      </c>
      <c r="M214" s="1" t="s">
        <v>19</v>
      </c>
      <c r="N214" s="1">
        <v>0.03</v>
      </c>
      <c r="O214" s="1" t="s">
        <v>37</v>
      </c>
    </row>
    <row r="215" spans="1:15" x14ac:dyDescent="0.3">
      <c r="A215" t="s">
        <v>306</v>
      </c>
      <c r="B215" s="1" t="s">
        <v>415</v>
      </c>
      <c r="C215" s="1" t="s">
        <v>422</v>
      </c>
      <c r="D215" s="1" t="s">
        <v>478</v>
      </c>
      <c r="E215" s="1" t="s">
        <v>479</v>
      </c>
      <c r="F215" s="1" t="s">
        <v>67</v>
      </c>
      <c r="G215" s="1">
        <v>1</v>
      </c>
      <c r="H215" s="1">
        <v>4.0999999999999996</v>
      </c>
      <c r="I215" s="1">
        <v>0</v>
      </c>
      <c r="J215" s="1" t="s">
        <v>19</v>
      </c>
      <c r="K215" s="1" t="s">
        <v>20</v>
      </c>
      <c r="L215" t="s">
        <v>169</v>
      </c>
      <c r="M215" s="1" t="s">
        <v>19</v>
      </c>
      <c r="N215" s="1">
        <v>0.01</v>
      </c>
      <c r="O215" s="1" t="s">
        <v>37</v>
      </c>
    </row>
    <row r="216" spans="1:15" x14ac:dyDescent="0.3">
      <c r="A216" t="s">
        <v>306</v>
      </c>
      <c r="B216" s="1" t="s">
        <v>415</v>
      </c>
      <c r="C216" s="1" t="s">
        <v>422</v>
      </c>
      <c r="D216" s="1" t="s">
        <v>480</v>
      </c>
      <c r="E216" s="1" t="s">
        <v>27</v>
      </c>
      <c r="F216" s="1" t="s">
        <v>67</v>
      </c>
      <c r="G216" s="1">
        <v>1</v>
      </c>
      <c r="H216" s="1">
        <v>4.8</v>
      </c>
      <c r="I216" s="1">
        <v>0</v>
      </c>
      <c r="J216" s="1" t="s">
        <v>19</v>
      </c>
      <c r="K216" s="1" t="s">
        <v>20</v>
      </c>
      <c r="L216" t="s">
        <v>28</v>
      </c>
      <c r="M216" s="1" t="s">
        <v>19</v>
      </c>
      <c r="N216" s="1">
        <v>0.1</v>
      </c>
      <c r="O216" s="1" t="s">
        <v>37</v>
      </c>
    </row>
    <row r="217" spans="1:15" x14ac:dyDescent="0.3">
      <c r="A217" t="s">
        <v>117</v>
      </c>
      <c r="B217" s="1" t="s">
        <v>118</v>
      </c>
      <c r="C217" s="1" t="s">
        <v>481</v>
      </c>
      <c r="D217" s="1" t="s">
        <v>482</v>
      </c>
      <c r="E217" s="1" t="s">
        <v>483</v>
      </c>
      <c r="F217" s="1" t="s">
        <v>67</v>
      </c>
      <c r="G217" s="1">
        <v>1</v>
      </c>
      <c r="H217" s="1">
        <v>4.5</v>
      </c>
      <c r="I217" s="1">
        <v>0</v>
      </c>
      <c r="J217" s="1" t="s">
        <v>29</v>
      </c>
      <c r="K217" s="1" t="s">
        <v>20</v>
      </c>
      <c r="L217" t="s">
        <v>94</v>
      </c>
      <c r="M217" s="1" t="s">
        <v>19</v>
      </c>
      <c r="N217" s="1">
        <v>2.5000000000000001E-2</v>
      </c>
      <c r="O217" s="1" t="s">
        <v>51</v>
      </c>
    </row>
    <row r="218" spans="1:15" x14ac:dyDescent="0.3">
      <c r="A218" t="s">
        <v>117</v>
      </c>
      <c r="B218" s="1" t="s">
        <v>118</v>
      </c>
      <c r="C218" s="1" t="s">
        <v>484</v>
      </c>
      <c r="D218" s="1" t="s">
        <v>485</v>
      </c>
      <c r="E218" s="1" t="s">
        <v>190</v>
      </c>
      <c r="F218" s="1">
        <v>1941</v>
      </c>
      <c r="G218" s="1">
        <v>3</v>
      </c>
      <c r="H218" s="1">
        <v>4.4000000000000004</v>
      </c>
      <c r="I218" s="1">
        <v>250</v>
      </c>
      <c r="J218" s="1" t="s">
        <v>19</v>
      </c>
      <c r="K218" s="1" t="s">
        <v>20</v>
      </c>
      <c r="L218" t="s">
        <v>73</v>
      </c>
      <c r="M218" s="1" t="s">
        <v>19</v>
      </c>
      <c r="N218" s="1">
        <v>3.5000000000000003E-2</v>
      </c>
      <c r="O218" s="1" t="s">
        <v>51</v>
      </c>
    </row>
    <row r="219" spans="1:15" x14ac:dyDescent="0.3">
      <c r="A219" t="s">
        <v>117</v>
      </c>
      <c r="B219" s="1" t="s">
        <v>118</v>
      </c>
      <c r="C219" s="1" t="s">
        <v>486</v>
      </c>
      <c r="D219" s="1" t="s">
        <v>487</v>
      </c>
      <c r="E219" s="1" t="s">
        <v>72</v>
      </c>
      <c r="F219" s="1">
        <v>1984</v>
      </c>
      <c r="G219" s="1">
        <v>4</v>
      </c>
      <c r="H219" s="1">
        <v>4.4000000000000004</v>
      </c>
      <c r="I219" s="1">
        <v>60</v>
      </c>
      <c r="J219" s="1" t="s">
        <v>29</v>
      </c>
      <c r="K219" s="1" t="s">
        <v>20</v>
      </c>
      <c r="L219" t="s">
        <v>73</v>
      </c>
      <c r="M219" s="1" t="s">
        <v>19</v>
      </c>
      <c r="N219" s="1">
        <v>6.5000000000000002E-2</v>
      </c>
      <c r="O219" s="1" t="s">
        <v>51</v>
      </c>
    </row>
    <row r="220" spans="1:15" x14ac:dyDescent="0.3">
      <c r="A220" t="s">
        <v>117</v>
      </c>
      <c r="B220" s="1" t="s">
        <v>118</v>
      </c>
      <c r="C220" s="1" t="s">
        <v>488</v>
      </c>
      <c r="D220" s="1" t="s">
        <v>489</v>
      </c>
      <c r="E220" s="1" t="s">
        <v>79</v>
      </c>
      <c r="F220" s="1" t="s">
        <v>67</v>
      </c>
      <c r="G220" s="1">
        <v>1.5</v>
      </c>
      <c r="H220" s="1">
        <v>4.5</v>
      </c>
      <c r="I220" s="1">
        <v>0</v>
      </c>
      <c r="J220" s="1" t="s">
        <v>29</v>
      </c>
      <c r="K220" s="1" t="s">
        <v>20</v>
      </c>
      <c r="L220" t="s">
        <v>80</v>
      </c>
      <c r="M220" s="1" t="s">
        <v>19</v>
      </c>
      <c r="N220" s="1">
        <v>0.09</v>
      </c>
      <c r="O220" s="1" t="s">
        <v>37</v>
      </c>
    </row>
    <row r="221" spans="1:15" x14ac:dyDescent="0.3">
      <c r="A221" t="s">
        <v>117</v>
      </c>
      <c r="B221" s="1" t="s">
        <v>118</v>
      </c>
      <c r="C221" s="1" t="s">
        <v>490</v>
      </c>
      <c r="D221" s="1" t="s">
        <v>491</v>
      </c>
      <c r="E221" s="1" t="s">
        <v>91</v>
      </c>
      <c r="F221" s="1">
        <v>1837</v>
      </c>
      <c r="G221" s="1">
        <v>1.5</v>
      </c>
      <c r="H221" s="1">
        <v>4.5</v>
      </c>
      <c r="I221" s="1">
        <v>10</v>
      </c>
      <c r="J221" s="1" t="s">
        <v>19</v>
      </c>
      <c r="K221" s="1" t="s">
        <v>57</v>
      </c>
      <c r="L221" t="s">
        <v>21</v>
      </c>
      <c r="M221" s="1" t="s">
        <v>19</v>
      </c>
      <c r="N221" s="1">
        <v>0.18</v>
      </c>
      <c r="O221" s="1" t="s">
        <v>37</v>
      </c>
    </row>
    <row r="222" spans="1:15" x14ac:dyDescent="0.3">
      <c r="A222" t="s">
        <v>117</v>
      </c>
      <c r="B222" s="1" t="s">
        <v>118</v>
      </c>
      <c r="C222" s="1" t="s">
        <v>492</v>
      </c>
      <c r="D222" s="1" t="s">
        <v>493</v>
      </c>
      <c r="E222" s="1" t="s">
        <v>27</v>
      </c>
      <c r="F222" s="1" t="s">
        <v>67</v>
      </c>
      <c r="G222" s="1">
        <v>0.5</v>
      </c>
      <c r="H222" s="1">
        <v>4.7</v>
      </c>
      <c r="I222" s="1">
        <v>0</v>
      </c>
      <c r="J222" s="1" t="s">
        <v>19</v>
      </c>
      <c r="K222" s="1" t="s">
        <v>20</v>
      </c>
      <c r="L222" t="s">
        <v>28</v>
      </c>
      <c r="M222" s="1" t="s">
        <v>29</v>
      </c>
      <c r="N222" s="1">
        <v>4.4999999999999998E-2</v>
      </c>
      <c r="O222" s="1" t="s">
        <v>51</v>
      </c>
    </row>
    <row r="223" spans="1:15" x14ac:dyDescent="0.3">
      <c r="A223" t="s">
        <v>117</v>
      </c>
      <c r="B223" s="1" t="s">
        <v>118</v>
      </c>
      <c r="C223" s="1" t="s">
        <v>494</v>
      </c>
      <c r="D223" s="1" t="s">
        <v>495</v>
      </c>
      <c r="E223" s="1" t="s">
        <v>27</v>
      </c>
      <c r="F223" s="1">
        <v>1814</v>
      </c>
      <c r="G223" s="1">
        <v>0.5</v>
      </c>
      <c r="H223" s="1">
        <v>4.5999999999999996</v>
      </c>
      <c r="I223" s="1">
        <v>0</v>
      </c>
      <c r="J223" s="1" t="s">
        <v>19</v>
      </c>
      <c r="K223" s="1" t="s">
        <v>20</v>
      </c>
      <c r="L223" t="s">
        <v>98</v>
      </c>
      <c r="M223" s="1" t="s">
        <v>29</v>
      </c>
      <c r="N223" s="1">
        <v>7.0000000000000007E-2</v>
      </c>
      <c r="O223" s="1" t="s">
        <v>51</v>
      </c>
    </row>
    <row r="224" spans="1:15" x14ac:dyDescent="0.3">
      <c r="A224" t="s">
        <v>117</v>
      </c>
      <c r="B224" s="1" t="s">
        <v>118</v>
      </c>
      <c r="C224" s="1" t="s">
        <v>496</v>
      </c>
      <c r="D224" s="1" t="s">
        <v>497</v>
      </c>
      <c r="E224" s="1" t="s">
        <v>72</v>
      </c>
      <c r="F224" s="1">
        <v>1949</v>
      </c>
      <c r="G224" s="1">
        <v>3</v>
      </c>
      <c r="H224" s="1">
        <v>4.4000000000000004</v>
      </c>
      <c r="I224" s="1">
        <v>100</v>
      </c>
      <c r="J224" s="1" t="s">
        <v>19</v>
      </c>
      <c r="K224" s="1" t="s">
        <v>20</v>
      </c>
      <c r="L224" t="s">
        <v>73</v>
      </c>
      <c r="M224" s="1" t="s">
        <v>19</v>
      </c>
      <c r="N224" s="1">
        <v>7.0000000000000007E-2</v>
      </c>
      <c r="O224" s="1" t="s">
        <v>51</v>
      </c>
    </row>
    <row r="225" spans="1:15" x14ac:dyDescent="0.3">
      <c r="A225" t="s">
        <v>117</v>
      </c>
      <c r="B225" s="1" t="s">
        <v>118</v>
      </c>
      <c r="C225" s="1" t="s">
        <v>498</v>
      </c>
      <c r="D225" s="1" t="s">
        <v>499</v>
      </c>
      <c r="E225" s="1" t="s">
        <v>91</v>
      </c>
      <c r="F225" s="1">
        <v>1887</v>
      </c>
      <c r="G225" s="1">
        <v>1</v>
      </c>
      <c r="H225" s="1">
        <v>4.5</v>
      </c>
      <c r="I225" s="1">
        <v>20</v>
      </c>
      <c r="J225" s="1" t="s">
        <v>19</v>
      </c>
      <c r="K225" s="1" t="s">
        <v>57</v>
      </c>
      <c r="L225" t="s">
        <v>21</v>
      </c>
      <c r="M225" s="1" t="s">
        <v>19</v>
      </c>
      <c r="N225" s="1">
        <v>0.09</v>
      </c>
      <c r="O225" s="1" t="s">
        <v>51</v>
      </c>
    </row>
    <row r="226" spans="1:15" x14ac:dyDescent="0.3">
      <c r="A226" t="s">
        <v>117</v>
      </c>
      <c r="B226" s="1" t="s">
        <v>118</v>
      </c>
      <c r="C226" s="1" t="s">
        <v>500</v>
      </c>
      <c r="D226" s="1" t="s">
        <v>501</v>
      </c>
      <c r="E226" s="1" t="s">
        <v>457</v>
      </c>
      <c r="F226" s="1" t="s">
        <v>67</v>
      </c>
      <c r="G226" s="1">
        <v>2.5</v>
      </c>
      <c r="H226" s="1">
        <v>4.5</v>
      </c>
      <c r="I226" s="1">
        <v>0</v>
      </c>
      <c r="J226" s="1" t="s">
        <v>29</v>
      </c>
      <c r="K226" s="1" t="s">
        <v>20</v>
      </c>
      <c r="L226" t="s">
        <v>94</v>
      </c>
      <c r="M226" s="1" t="s">
        <v>19</v>
      </c>
      <c r="N226" s="1">
        <v>0.15</v>
      </c>
      <c r="O226" s="1" t="s">
        <v>51</v>
      </c>
    </row>
    <row r="227" spans="1:15" x14ac:dyDescent="0.3">
      <c r="A227" t="s">
        <v>117</v>
      </c>
      <c r="B227" s="1" t="s">
        <v>502</v>
      </c>
      <c r="C227" s="1" t="s">
        <v>503</v>
      </c>
      <c r="D227" s="1" t="s">
        <v>504</v>
      </c>
      <c r="E227" s="1" t="s">
        <v>27</v>
      </c>
      <c r="F227" s="1" t="s">
        <v>505</v>
      </c>
      <c r="G227" s="1">
        <v>2</v>
      </c>
      <c r="H227" s="1">
        <v>4.7</v>
      </c>
      <c r="I227" s="1">
        <v>0</v>
      </c>
      <c r="J227" s="1" t="s">
        <v>19</v>
      </c>
      <c r="K227" s="1" t="s">
        <v>20</v>
      </c>
      <c r="L227" t="s">
        <v>28</v>
      </c>
      <c r="M227" s="1" t="s">
        <v>29</v>
      </c>
      <c r="N227" s="1">
        <v>1</v>
      </c>
      <c r="O227" s="1" t="s">
        <v>51</v>
      </c>
    </row>
    <row r="228" spans="1:15" x14ac:dyDescent="0.3">
      <c r="A228" t="s">
        <v>117</v>
      </c>
      <c r="B228" s="1" t="s">
        <v>502</v>
      </c>
      <c r="C228" s="1" t="s">
        <v>506</v>
      </c>
      <c r="D228" s="1" t="s">
        <v>507</v>
      </c>
      <c r="E228" s="1" t="s">
        <v>27</v>
      </c>
      <c r="F228" s="1">
        <v>1250</v>
      </c>
      <c r="G228" s="1">
        <v>1.5</v>
      </c>
      <c r="H228" s="1">
        <v>4.7</v>
      </c>
      <c r="I228" s="1">
        <v>40</v>
      </c>
      <c r="J228" s="1" t="s">
        <v>19</v>
      </c>
      <c r="K228" s="1" t="s">
        <v>20</v>
      </c>
      <c r="L228" t="s">
        <v>21</v>
      </c>
      <c r="M228" s="1" t="s">
        <v>19</v>
      </c>
      <c r="N228" s="1">
        <v>0.83</v>
      </c>
      <c r="O228" s="1" t="s">
        <v>51</v>
      </c>
    </row>
    <row r="229" spans="1:15" x14ac:dyDescent="0.3">
      <c r="A229" t="s">
        <v>117</v>
      </c>
      <c r="B229" s="1" t="s">
        <v>502</v>
      </c>
      <c r="C229" s="1" t="s">
        <v>508</v>
      </c>
      <c r="D229" s="1" t="s">
        <v>509</v>
      </c>
      <c r="E229" s="1" t="s">
        <v>27</v>
      </c>
      <c r="F229" s="1" t="s">
        <v>510</v>
      </c>
      <c r="G229" s="1">
        <v>1</v>
      </c>
      <c r="H229" s="1">
        <v>4.5999999999999996</v>
      </c>
      <c r="I229" s="1">
        <v>0</v>
      </c>
      <c r="J229" s="1" t="s">
        <v>19</v>
      </c>
      <c r="K229" s="1" t="s">
        <v>20</v>
      </c>
      <c r="L229" t="s">
        <v>28</v>
      </c>
      <c r="M229" s="1" t="s">
        <v>29</v>
      </c>
      <c r="N229" s="1">
        <v>0.35</v>
      </c>
      <c r="O229" s="1" t="s">
        <v>51</v>
      </c>
    </row>
    <row r="230" spans="1:15" x14ac:dyDescent="0.3">
      <c r="A230" t="s">
        <v>117</v>
      </c>
      <c r="B230" s="1" t="s">
        <v>502</v>
      </c>
      <c r="C230" s="1" t="s">
        <v>511</v>
      </c>
      <c r="D230" s="1" t="s">
        <v>512</v>
      </c>
      <c r="E230" s="1" t="s">
        <v>142</v>
      </c>
      <c r="F230" s="1" t="s">
        <v>67</v>
      </c>
      <c r="G230" s="1">
        <v>1.5</v>
      </c>
      <c r="H230" s="1">
        <v>4.5</v>
      </c>
      <c r="I230" s="1">
        <v>0</v>
      </c>
      <c r="J230" s="1" t="s">
        <v>29</v>
      </c>
      <c r="K230" s="1" t="s">
        <v>20</v>
      </c>
      <c r="L230" t="s">
        <v>94</v>
      </c>
      <c r="M230" s="1" t="s">
        <v>19</v>
      </c>
      <c r="N230" s="1">
        <v>1.2</v>
      </c>
      <c r="O230" s="1" t="s">
        <v>51</v>
      </c>
    </row>
    <row r="231" spans="1:15" x14ac:dyDescent="0.3">
      <c r="A231" t="s">
        <v>117</v>
      </c>
      <c r="B231" s="1" t="s">
        <v>502</v>
      </c>
      <c r="C231" s="1" t="s">
        <v>513</v>
      </c>
      <c r="D231" s="1" t="s">
        <v>514</v>
      </c>
      <c r="E231" s="1" t="s">
        <v>43</v>
      </c>
      <c r="F231" s="1">
        <v>-987</v>
      </c>
      <c r="G231" s="1">
        <v>1</v>
      </c>
      <c r="H231" s="1">
        <v>4.5</v>
      </c>
      <c r="I231" s="1">
        <v>0</v>
      </c>
      <c r="J231" s="1" t="s">
        <v>19</v>
      </c>
      <c r="K231" s="1" t="s">
        <v>20</v>
      </c>
      <c r="L231" t="s">
        <v>21</v>
      </c>
      <c r="M231" s="1" t="s">
        <v>19</v>
      </c>
      <c r="N231" s="1">
        <v>0.13</v>
      </c>
      <c r="O231" s="1" t="s">
        <v>51</v>
      </c>
    </row>
    <row r="232" spans="1:15" x14ac:dyDescent="0.3">
      <c r="A232" t="s">
        <v>117</v>
      </c>
      <c r="B232" s="1" t="s">
        <v>502</v>
      </c>
      <c r="C232" s="1" t="s">
        <v>515</v>
      </c>
      <c r="D232" s="1" t="s">
        <v>516</v>
      </c>
      <c r="E232" s="1" t="s">
        <v>517</v>
      </c>
      <c r="F232" s="1">
        <v>1957</v>
      </c>
      <c r="G232" s="1">
        <v>1</v>
      </c>
      <c r="H232" s="1">
        <v>4.5</v>
      </c>
      <c r="I232" s="1">
        <v>0</v>
      </c>
      <c r="J232" s="1" t="s">
        <v>29</v>
      </c>
      <c r="K232" s="1" t="s">
        <v>20</v>
      </c>
      <c r="L232" t="s">
        <v>518</v>
      </c>
      <c r="M232" s="1" t="s">
        <v>19</v>
      </c>
      <c r="N232" s="1">
        <v>0.01</v>
      </c>
      <c r="O232" s="1" t="s">
        <v>51</v>
      </c>
    </row>
    <row r="233" spans="1:15" x14ac:dyDescent="0.3">
      <c r="A233" t="s">
        <v>117</v>
      </c>
      <c r="B233" s="1" t="s">
        <v>502</v>
      </c>
      <c r="C233" s="1" t="s">
        <v>519</v>
      </c>
      <c r="D233" s="1" t="s">
        <v>520</v>
      </c>
      <c r="E233" s="1" t="s">
        <v>106</v>
      </c>
      <c r="F233" s="1" t="s">
        <v>67</v>
      </c>
      <c r="G233" s="1">
        <v>2</v>
      </c>
      <c r="H233" s="1">
        <v>3.9</v>
      </c>
      <c r="I233" s="1">
        <v>0</v>
      </c>
      <c r="J233" s="1" t="s">
        <v>19</v>
      </c>
      <c r="K233" s="1" t="s">
        <v>20</v>
      </c>
      <c r="L233" t="s">
        <v>94</v>
      </c>
      <c r="M233" s="1" t="s">
        <v>19</v>
      </c>
      <c r="N233" s="1">
        <v>0.1</v>
      </c>
      <c r="O233" s="1" t="s">
        <v>37</v>
      </c>
    </row>
    <row r="234" spans="1:15" x14ac:dyDescent="0.3">
      <c r="A234" t="s">
        <v>117</v>
      </c>
      <c r="B234" s="1" t="s">
        <v>502</v>
      </c>
      <c r="C234" s="1" t="s">
        <v>521</v>
      </c>
      <c r="D234" s="1" t="s">
        <v>522</v>
      </c>
      <c r="E234" s="1" t="s">
        <v>27</v>
      </c>
      <c r="F234" s="1" t="s">
        <v>523</v>
      </c>
      <c r="G234" s="1">
        <v>1</v>
      </c>
      <c r="H234" s="1">
        <v>4.5999999999999996</v>
      </c>
      <c r="I234" s="1">
        <v>0</v>
      </c>
      <c r="J234" s="1" t="s">
        <v>19</v>
      </c>
      <c r="K234" s="1" t="s">
        <v>20</v>
      </c>
      <c r="L234" t="s">
        <v>28</v>
      </c>
      <c r="M234" s="1" t="s">
        <v>29</v>
      </c>
      <c r="N234" s="1">
        <v>0.01</v>
      </c>
      <c r="O234" s="1" t="s">
        <v>51</v>
      </c>
    </row>
    <row r="235" spans="1:15" x14ac:dyDescent="0.3">
      <c r="A235" t="s">
        <v>117</v>
      </c>
      <c r="B235" s="1" t="s">
        <v>502</v>
      </c>
      <c r="C235" s="1" t="s">
        <v>524</v>
      </c>
      <c r="D235" s="1" t="s">
        <v>525</v>
      </c>
      <c r="E235" s="1" t="s">
        <v>142</v>
      </c>
      <c r="F235" s="1" t="s">
        <v>67</v>
      </c>
      <c r="G235" s="1">
        <v>1</v>
      </c>
      <c r="H235" s="1">
        <v>4.3</v>
      </c>
      <c r="I235" s="1">
        <v>0</v>
      </c>
      <c r="J235" s="1" t="s">
        <v>29</v>
      </c>
      <c r="K235" s="1" t="s">
        <v>20</v>
      </c>
      <c r="L235" t="s">
        <v>94</v>
      </c>
      <c r="M235" s="1" t="s">
        <v>19</v>
      </c>
      <c r="N235" s="1">
        <v>1.7999999999999999E-2</v>
      </c>
      <c r="O235" s="1" t="s">
        <v>37</v>
      </c>
    </row>
    <row r="236" spans="1:15" x14ac:dyDescent="0.3">
      <c r="A236" t="s">
        <v>117</v>
      </c>
      <c r="B236" s="1" t="s">
        <v>502</v>
      </c>
      <c r="C236" s="1" t="s">
        <v>526</v>
      </c>
      <c r="D236" s="1" t="s">
        <v>527</v>
      </c>
      <c r="E236" s="1" t="s">
        <v>79</v>
      </c>
      <c r="F236" s="1" t="s">
        <v>67</v>
      </c>
      <c r="G236" s="1">
        <v>1.5</v>
      </c>
      <c r="H236" s="1">
        <v>4.2</v>
      </c>
      <c r="I236" s="1">
        <v>0</v>
      </c>
      <c r="J236" s="1" t="s">
        <v>19</v>
      </c>
      <c r="K236" s="1" t="s">
        <v>20</v>
      </c>
      <c r="L236" t="s">
        <v>80</v>
      </c>
      <c r="M236" s="1" t="s">
        <v>19</v>
      </c>
      <c r="N236" s="1">
        <v>1.4E-2</v>
      </c>
      <c r="O236" s="1" t="s">
        <v>37</v>
      </c>
    </row>
    <row r="237" spans="1:15" x14ac:dyDescent="0.3">
      <c r="A237" t="s">
        <v>117</v>
      </c>
      <c r="B237" s="1" t="s">
        <v>502</v>
      </c>
      <c r="C237" s="1" t="s">
        <v>528</v>
      </c>
      <c r="D237" s="1" t="s">
        <v>529</v>
      </c>
      <c r="E237" s="1" t="s">
        <v>142</v>
      </c>
      <c r="F237" s="1" t="s">
        <v>67</v>
      </c>
      <c r="G237" s="1">
        <v>1</v>
      </c>
      <c r="H237" s="1">
        <v>4.4000000000000004</v>
      </c>
      <c r="I237" s="1">
        <v>0</v>
      </c>
      <c r="J237" s="1" t="s">
        <v>29</v>
      </c>
      <c r="K237" s="1" t="s">
        <v>20</v>
      </c>
      <c r="L237" t="s">
        <v>94</v>
      </c>
      <c r="M237" s="1" t="s">
        <v>19</v>
      </c>
      <c r="N237" s="1">
        <v>5.5E-2</v>
      </c>
      <c r="O237" s="1" t="s">
        <v>51</v>
      </c>
    </row>
    <row r="238" spans="1:15" x14ac:dyDescent="0.3">
      <c r="A238" t="s">
        <v>87</v>
      </c>
      <c r="B238" s="1" t="s">
        <v>530</v>
      </c>
      <c r="C238" s="1" t="s">
        <v>531</v>
      </c>
      <c r="D238" s="1" t="s">
        <v>532</v>
      </c>
      <c r="E238" s="1" t="s">
        <v>79</v>
      </c>
      <c r="F238" s="1" t="s">
        <v>67</v>
      </c>
      <c r="G238" s="1">
        <v>1.5</v>
      </c>
      <c r="H238" s="1">
        <v>3.9</v>
      </c>
      <c r="I238" s="1">
        <v>0</v>
      </c>
      <c r="J238" s="1" t="s">
        <v>19</v>
      </c>
      <c r="K238" s="1" t="s">
        <v>20</v>
      </c>
      <c r="L238" t="s">
        <v>80</v>
      </c>
      <c r="M238" s="1" t="s">
        <v>19</v>
      </c>
      <c r="N238" s="1">
        <v>0.1</v>
      </c>
      <c r="O238" s="1" t="s">
        <v>37</v>
      </c>
    </row>
    <row r="239" spans="1:15" x14ac:dyDescent="0.3">
      <c r="A239" t="s">
        <v>87</v>
      </c>
      <c r="B239" s="1" t="s">
        <v>530</v>
      </c>
      <c r="C239" s="1" t="s">
        <v>533</v>
      </c>
      <c r="D239" s="1" t="s">
        <v>534</v>
      </c>
      <c r="E239" s="1" t="s">
        <v>27</v>
      </c>
      <c r="F239" s="1" t="s">
        <v>535</v>
      </c>
      <c r="G239" s="1">
        <v>2</v>
      </c>
      <c r="H239" s="1">
        <v>4.7</v>
      </c>
      <c r="I239" s="1">
        <v>0</v>
      </c>
      <c r="J239" s="1" t="s">
        <v>19</v>
      </c>
      <c r="K239" s="1" t="s">
        <v>20</v>
      </c>
      <c r="L239" t="s">
        <v>28</v>
      </c>
      <c r="M239" s="1" t="s">
        <v>29</v>
      </c>
      <c r="N239" s="1">
        <v>0.65</v>
      </c>
      <c r="O239" s="1" t="s">
        <v>51</v>
      </c>
    </row>
    <row r="240" spans="1:15" x14ac:dyDescent="0.3">
      <c r="A240" t="s">
        <v>87</v>
      </c>
      <c r="B240" s="1" t="s">
        <v>530</v>
      </c>
      <c r="C240" s="1" t="s">
        <v>536</v>
      </c>
      <c r="D240" s="1" t="s">
        <v>537</v>
      </c>
      <c r="E240" s="1" t="s">
        <v>27</v>
      </c>
      <c r="F240" s="1" t="s">
        <v>505</v>
      </c>
      <c r="G240" s="1">
        <v>1.5</v>
      </c>
      <c r="H240" s="1">
        <v>4.5999999999999996</v>
      </c>
      <c r="I240" s="1">
        <v>0</v>
      </c>
      <c r="J240" s="1" t="s">
        <v>29</v>
      </c>
      <c r="K240" s="1" t="s">
        <v>20</v>
      </c>
      <c r="L240" t="s">
        <v>28</v>
      </c>
      <c r="M240" s="1" t="s">
        <v>29</v>
      </c>
      <c r="N240" s="1">
        <v>0.01</v>
      </c>
      <c r="O240" s="1" t="s">
        <v>51</v>
      </c>
    </row>
    <row r="241" spans="1:15" x14ac:dyDescent="0.3">
      <c r="A241" t="s">
        <v>87</v>
      </c>
      <c r="B241" s="1" t="s">
        <v>530</v>
      </c>
      <c r="C241" s="1" t="s">
        <v>538</v>
      </c>
      <c r="D241" s="1" t="s">
        <v>539</v>
      </c>
      <c r="E241" s="1" t="s">
        <v>213</v>
      </c>
      <c r="F241" s="1">
        <v>1970</v>
      </c>
      <c r="G241" s="1">
        <v>1</v>
      </c>
      <c r="H241" s="1">
        <v>4.5999999999999996</v>
      </c>
      <c r="I241" s="1">
        <v>20</v>
      </c>
      <c r="J241" s="1" t="s">
        <v>19</v>
      </c>
      <c r="K241" s="1" t="s">
        <v>20</v>
      </c>
      <c r="L241" t="s">
        <v>21</v>
      </c>
      <c r="M241" s="1" t="s">
        <v>29</v>
      </c>
      <c r="N241" s="1">
        <v>0.47</v>
      </c>
      <c r="O241" s="1" t="s">
        <v>37</v>
      </c>
    </row>
    <row r="242" spans="1:15" x14ac:dyDescent="0.3">
      <c r="A242" t="s">
        <v>87</v>
      </c>
      <c r="B242" s="1" t="s">
        <v>530</v>
      </c>
      <c r="C242" s="1" t="s">
        <v>540</v>
      </c>
      <c r="D242" s="1" t="s">
        <v>541</v>
      </c>
      <c r="E242" s="1" t="s">
        <v>106</v>
      </c>
      <c r="F242" s="1">
        <v>1824</v>
      </c>
      <c r="G242" s="1">
        <v>1</v>
      </c>
      <c r="H242" s="1">
        <v>4.0999999999999996</v>
      </c>
      <c r="I242" s="1">
        <v>10</v>
      </c>
      <c r="J242" s="1" t="s">
        <v>19</v>
      </c>
      <c r="K242" s="1" t="s">
        <v>20</v>
      </c>
      <c r="L242" t="s">
        <v>80</v>
      </c>
      <c r="M242" s="1" t="s">
        <v>19</v>
      </c>
      <c r="N242" s="1">
        <v>0.61</v>
      </c>
      <c r="O242" s="1" t="s">
        <v>37</v>
      </c>
    </row>
    <row r="243" spans="1:15" x14ac:dyDescent="0.3">
      <c r="A243" t="s">
        <v>87</v>
      </c>
      <c r="B243" s="1" t="s">
        <v>530</v>
      </c>
      <c r="C243" s="1" t="s">
        <v>542</v>
      </c>
      <c r="D243" s="1" t="s">
        <v>543</v>
      </c>
      <c r="E243" s="1" t="s">
        <v>27</v>
      </c>
      <c r="F243" s="1" t="s">
        <v>505</v>
      </c>
      <c r="G243" s="1">
        <v>1</v>
      </c>
      <c r="H243" s="1">
        <v>4.7</v>
      </c>
      <c r="I243" s="1">
        <v>0</v>
      </c>
      <c r="J243" s="1" t="s">
        <v>19</v>
      </c>
      <c r="K243" s="1" t="s">
        <v>20</v>
      </c>
      <c r="L243" t="s">
        <v>28</v>
      </c>
      <c r="M243" s="1" t="s">
        <v>29</v>
      </c>
      <c r="N243" s="1">
        <v>0.3</v>
      </c>
      <c r="O243" s="1" t="s">
        <v>51</v>
      </c>
    </row>
    <row r="244" spans="1:15" x14ac:dyDescent="0.3">
      <c r="A244" t="s">
        <v>87</v>
      </c>
      <c r="B244" s="1" t="s">
        <v>530</v>
      </c>
      <c r="C244" s="1" t="s">
        <v>544</v>
      </c>
      <c r="D244" s="1" t="s">
        <v>545</v>
      </c>
      <c r="E244" s="1" t="s">
        <v>106</v>
      </c>
      <c r="F244" s="1">
        <v>1863</v>
      </c>
      <c r="G244" s="1">
        <v>2</v>
      </c>
      <c r="H244" s="1">
        <v>3.9</v>
      </c>
      <c r="I244" s="1">
        <v>0</v>
      </c>
      <c r="J244" s="1" t="s">
        <v>29</v>
      </c>
      <c r="K244" s="1" t="s">
        <v>20</v>
      </c>
      <c r="L244" t="s">
        <v>80</v>
      </c>
      <c r="M244" s="1" t="s">
        <v>19</v>
      </c>
      <c r="N244" s="1">
        <v>0.1</v>
      </c>
      <c r="O244" s="1" t="s">
        <v>37</v>
      </c>
    </row>
    <row r="245" spans="1:15" x14ac:dyDescent="0.3">
      <c r="A245" t="s">
        <v>87</v>
      </c>
      <c r="B245" s="1" t="s">
        <v>530</v>
      </c>
      <c r="C245" s="1" t="s">
        <v>546</v>
      </c>
      <c r="D245" s="1" t="s">
        <v>547</v>
      </c>
      <c r="E245" s="1" t="s">
        <v>27</v>
      </c>
      <c r="F245" s="1">
        <v>110</v>
      </c>
      <c r="G245" s="1">
        <v>1.5</v>
      </c>
      <c r="H245" s="1">
        <v>4.8</v>
      </c>
      <c r="I245" s="1">
        <v>0</v>
      </c>
      <c r="J245" s="1" t="s">
        <v>19</v>
      </c>
      <c r="K245" s="1" t="s">
        <v>20</v>
      </c>
      <c r="L245" t="s">
        <v>28</v>
      </c>
      <c r="M245" s="1" t="s">
        <v>29</v>
      </c>
      <c r="N245" s="1">
        <v>0.35</v>
      </c>
      <c r="O245" s="1" t="s">
        <v>51</v>
      </c>
    </row>
    <row r="246" spans="1:15" x14ac:dyDescent="0.3">
      <c r="A246" t="s">
        <v>87</v>
      </c>
      <c r="B246" s="1" t="s">
        <v>530</v>
      </c>
      <c r="C246" s="1" t="s">
        <v>548</v>
      </c>
      <c r="D246" s="1" t="s">
        <v>549</v>
      </c>
      <c r="E246" s="1" t="s">
        <v>27</v>
      </c>
      <c r="F246" s="1" t="s">
        <v>550</v>
      </c>
      <c r="G246" s="1">
        <v>1</v>
      </c>
      <c r="H246" s="1">
        <v>4.5999999999999996</v>
      </c>
      <c r="I246" s="1">
        <v>40</v>
      </c>
      <c r="J246" s="1" t="s">
        <v>19</v>
      </c>
      <c r="K246" s="1" t="s">
        <v>20</v>
      </c>
      <c r="L246" t="s">
        <v>21</v>
      </c>
      <c r="M246" s="1" t="s">
        <v>29</v>
      </c>
      <c r="N246" s="1">
        <v>0.09</v>
      </c>
      <c r="O246" s="1" t="s">
        <v>51</v>
      </c>
    </row>
    <row r="247" spans="1:15" x14ac:dyDescent="0.3">
      <c r="A247" t="s">
        <v>87</v>
      </c>
      <c r="B247" s="1" t="s">
        <v>530</v>
      </c>
      <c r="C247" s="1" t="s">
        <v>551</v>
      </c>
      <c r="D247" s="1" t="s">
        <v>552</v>
      </c>
      <c r="E247" s="1" t="s">
        <v>106</v>
      </c>
      <c r="F247" s="1" t="s">
        <v>67</v>
      </c>
      <c r="G247" s="1">
        <v>1</v>
      </c>
      <c r="H247" s="1">
        <v>4.2</v>
      </c>
      <c r="I247" s="1">
        <v>0</v>
      </c>
      <c r="J247" s="1" t="s">
        <v>29</v>
      </c>
      <c r="K247" s="1" t="s">
        <v>20</v>
      </c>
      <c r="L247" t="s">
        <v>80</v>
      </c>
      <c r="M247" s="1" t="s">
        <v>19</v>
      </c>
      <c r="N247" s="1">
        <v>1.9E-2</v>
      </c>
      <c r="O247" s="1" t="s">
        <v>37</v>
      </c>
    </row>
    <row r="248" spans="1:15" x14ac:dyDescent="0.3">
      <c r="A248" t="s">
        <v>87</v>
      </c>
      <c r="B248" s="1" t="s">
        <v>530</v>
      </c>
      <c r="C248" s="1" t="s">
        <v>553</v>
      </c>
      <c r="D248" s="1" t="s">
        <v>554</v>
      </c>
      <c r="E248" s="1" t="s">
        <v>27</v>
      </c>
      <c r="F248" s="1" t="s">
        <v>550</v>
      </c>
      <c r="G248" s="1">
        <v>1</v>
      </c>
      <c r="H248" s="1">
        <v>4.5999999999999996</v>
      </c>
      <c r="I248" s="1">
        <v>0</v>
      </c>
      <c r="J248" s="1" t="s">
        <v>19</v>
      </c>
      <c r="K248" s="1" t="s">
        <v>20</v>
      </c>
      <c r="L248" t="s">
        <v>28</v>
      </c>
      <c r="M248" s="1" t="s">
        <v>29</v>
      </c>
      <c r="N248" s="1">
        <v>0.16</v>
      </c>
      <c r="O248" s="1" t="s">
        <v>51</v>
      </c>
    </row>
    <row r="249" spans="1:15" x14ac:dyDescent="0.3">
      <c r="A249" t="s">
        <v>87</v>
      </c>
      <c r="B249" s="1" t="s">
        <v>530</v>
      </c>
      <c r="C249" s="1" t="s">
        <v>555</v>
      </c>
      <c r="D249" s="1" t="s">
        <v>556</v>
      </c>
      <c r="E249" s="1" t="s">
        <v>27</v>
      </c>
      <c r="F249" s="1" t="s">
        <v>557</v>
      </c>
      <c r="G249" s="1">
        <v>1</v>
      </c>
      <c r="H249" s="1">
        <v>4.7</v>
      </c>
      <c r="I249" s="1">
        <v>0</v>
      </c>
      <c r="J249" s="1" t="s">
        <v>19</v>
      </c>
      <c r="K249" s="1" t="s">
        <v>20</v>
      </c>
      <c r="L249" t="s">
        <v>28</v>
      </c>
      <c r="M249" s="1" t="s">
        <v>29</v>
      </c>
      <c r="N249" s="1">
        <v>0.28000000000000003</v>
      </c>
      <c r="O249" s="1" t="s">
        <v>51</v>
      </c>
    </row>
    <row r="250" spans="1:15" x14ac:dyDescent="0.3">
      <c r="A250" t="s">
        <v>87</v>
      </c>
      <c r="B250" s="1" t="s">
        <v>558</v>
      </c>
      <c r="C250" s="1" t="s">
        <v>559</v>
      </c>
      <c r="D250" s="1" t="s">
        <v>560</v>
      </c>
      <c r="E250" s="1" t="s">
        <v>27</v>
      </c>
      <c r="F250" s="1" t="s">
        <v>67</v>
      </c>
      <c r="G250" s="1">
        <v>1</v>
      </c>
      <c r="H250" s="1">
        <v>4.7</v>
      </c>
      <c r="I250" s="1">
        <v>0</v>
      </c>
      <c r="J250" s="1" t="s">
        <v>19</v>
      </c>
      <c r="K250" s="1" t="s">
        <v>20</v>
      </c>
      <c r="L250" t="s">
        <v>28</v>
      </c>
      <c r="M250" s="1" t="s">
        <v>29</v>
      </c>
      <c r="N250" s="1">
        <v>0.44</v>
      </c>
      <c r="O250" s="1" t="s">
        <v>51</v>
      </c>
    </row>
    <row r="251" spans="1:15" x14ac:dyDescent="0.3">
      <c r="A251" t="s">
        <v>87</v>
      </c>
      <c r="B251" s="1" t="s">
        <v>558</v>
      </c>
      <c r="C251" s="1" t="s">
        <v>561</v>
      </c>
      <c r="D251" s="1" t="s">
        <v>562</v>
      </c>
      <c r="E251" s="1" t="s">
        <v>79</v>
      </c>
      <c r="F251" s="1" t="s">
        <v>67</v>
      </c>
      <c r="G251" s="1">
        <v>1.5</v>
      </c>
      <c r="H251" s="1">
        <v>4.5</v>
      </c>
      <c r="I251" s="1">
        <v>0</v>
      </c>
      <c r="J251" s="1" t="s">
        <v>19</v>
      </c>
      <c r="K251" s="1" t="s">
        <v>20</v>
      </c>
      <c r="L251" t="s">
        <v>80</v>
      </c>
      <c r="M251" s="1" t="s">
        <v>19</v>
      </c>
      <c r="N251" s="1">
        <v>0.39</v>
      </c>
      <c r="O251" s="1" t="s">
        <v>37</v>
      </c>
    </row>
    <row r="252" spans="1:15" x14ac:dyDescent="0.3">
      <c r="A252" t="s">
        <v>87</v>
      </c>
      <c r="B252" s="1" t="s">
        <v>558</v>
      </c>
      <c r="C252" s="1" t="s">
        <v>563</v>
      </c>
      <c r="D252" s="1" t="s">
        <v>564</v>
      </c>
      <c r="E252" s="1" t="s">
        <v>27</v>
      </c>
      <c r="F252" s="1" t="s">
        <v>565</v>
      </c>
      <c r="G252" s="1">
        <v>1</v>
      </c>
      <c r="H252" s="1">
        <v>4.7</v>
      </c>
      <c r="I252" s="1">
        <v>0</v>
      </c>
      <c r="J252" s="1" t="s">
        <v>29</v>
      </c>
      <c r="K252" s="1" t="s">
        <v>20</v>
      </c>
      <c r="L252" t="s">
        <v>28</v>
      </c>
      <c r="M252" s="1" t="s">
        <v>29</v>
      </c>
      <c r="N252" s="1">
        <v>0.49</v>
      </c>
      <c r="O252" s="1" t="s">
        <v>51</v>
      </c>
    </row>
    <row r="253" spans="1:15" x14ac:dyDescent="0.3">
      <c r="A253" t="s">
        <v>87</v>
      </c>
      <c r="B253" s="1" t="s">
        <v>558</v>
      </c>
      <c r="C253" s="1" t="s">
        <v>566</v>
      </c>
      <c r="D253" s="1" t="s">
        <v>567</v>
      </c>
      <c r="E253" s="1" t="s">
        <v>457</v>
      </c>
      <c r="F253" s="1" t="s">
        <v>67</v>
      </c>
      <c r="G253" s="1">
        <v>2</v>
      </c>
      <c r="H253" s="1">
        <v>4.3</v>
      </c>
      <c r="I253" s="1">
        <v>0</v>
      </c>
      <c r="J253" s="1" t="s">
        <v>19</v>
      </c>
      <c r="K253" s="1" t="s">
        <v>20</v>
      </c>
      <c r="L253" t="s">
        <v>94</v>
      </c>
      <c r="M253" s="1" t="s">
        <v>19</v>
      </c>
      <c r="N253" s="1">
        <v>3.2000000000000001E-2</v>
      </c>
      <c r="O253" s="1" t="s">
        <v>51</v>
      </c>
    </row>
    <row r="254" spans="1:15" x14ac:dyDescent="0.3">
      <c r="A254" t="s">
        <v>87</v>
      </c>
      <c r="B254" s="1" t="s">
        <v>558</v>
      </c>
      <c r="C254" s="1" t="s">
        <v>568</v>
      </c>
      <c r="D254" s="1" t="s">
        <v>569</v>
      </c>
      <c r="E254" s="1" t="s">
        <v>134</v>
      </c>
      <c r="F254" s="1" t="s">
        <v>570</v>
      </c>
      <c r="G254" s="1">
        <v>1.5</v>
      </c>
      <c r="H254" s="1">
        <v>4.5999999999999996</v>
      </c>
      <c r="I254" s="1">
        <v>0</v>
      </c>
      <c r="J254" s="1" t="s">
        <v>29</v>
      </c>
      <c r="K254" s="1" t="s">
        <v>20</v>
      </c>
      <c r="L254" t="s">
        <v>21</v>
      </c>
      <c r="M254" s="1" t="s">
        <v>19</v>
      </c>
      <c r="N254" s="1">
        <v>7.4999999999999997E-2</v>
      </c>
      <c r="O254" s="1" t="s">
        <v>51</v>
      </c>
    </row>
    <row r="255" spans="1:15" x14ac:dyDescent="0.3">
      <c r="A255" t="s">
        <v>87</v>
      </c>
      <c r="B255" s="1" t="s">
        <v>558</v>
      </c>
      <c r="C255" s="1" t="s">
        <v>571</v>
      </c>
      <c r="D255" s="1" t="s">
        <v>572</v>
      </c>
      <c r="E255" s="1" t="s">
        <v>263</v>
      </c>
      <c r="F255" s="1" t="s">
        <v>67</v>
      </c>
      <c r="G255" s="1">
        <v>1.5</v>
      </c>
      <c r="H255" s="1">
        <v>4.4000000000000004</v>
      </c>
      <c r="I255" s="1">
        <v>65</v>
      </c>
      <c r="J255" s="1" t="s">
        <v>19</v>
      </c>
      <c r="K255" s="1" t="s">
        <v>20</v>
      </c>
      <c r="L255" t="s">
        <v>573</v>
      </c>
      <c r="M255" s="1" t="s">
        <v>19</v>
      </c>
      <c r="N255" s="1">
        <v>0.11</v>
      </c>
      <c r="O255" s="1" t="s">
        <v>25</v>
      </c>
    </row>
    <row r="256" spans="1:15" x14ac:dyDescent="0.3">
      <c r="A256" t="s">
        <v>87</v>
      </c>
      <c r="B256" s="1" t="s">
        <v>558</v>
      </c>
      <c r="C256" s="1" t="s">
        <v>574</v>
      </c>
      <c r="D256" s="1" t="s">
        <v>575</v>
      </c>
      <c r="E256" s="1" t="s">
        <v>27</v>
      </c>
      <c r="F256" s="1" t="s">
        <v>67</v>
      </c>
      <c r="G256" s="1">
        <v>1</v>
      </c>
      <c r="H256" s="1">
        <v>4.7</v>
      </c>
      <c r="I256" s="1">
        <v>0</v>
      </c>
      <c r="J256" s="1" t="s">
        <v>19</v>
      </c>
      <c r="K256" s="1" t="s">
        <v>20</v>
      </c>
      <c r="L256" t="s">
        <v>28</v>
      </c>
      <c r="M256" s="1" t="s">
        <v>29</v>
      </c>
      <c r="N256" s="1">
        <v>4.1000000000000002E-2</v>
      </c>
      <c r="O256" s="1" t="s">
        <v>51</v>
      </c>
    </row>
    <row r="257" spans="1:15" x14ac:dyDescent="0.3">
      <c r="A257" t="s">
        <v>87</v>
      </c>
      <c r="B257" s="1" t="s">
        <v>558</v>
      </c>
      <c r="C257" s="1" t="s">
        <v>576</v>
      </c>
      <c r="D257" s="1" t="s">
        <v>577</v>
      </c>
      <c r="E257" s="1" t="s">
        <v>153</v>
      </c>
      <c r="F257" s="1" t="s">
        <v>67</v>
      </c>
      <c r="G257" s="1">
        <v>1</v>
      </c>
      <c r="H257" s="1">
        <v>4.4000000000000004</v>
      </c>
      <c r="I257" s="1">
        <v>10</v>
      </c>
      <c r="J257" s="1" t="s">
        <v>19</v>
      </c>
      <c r="K257" s="1" t="s">
        <v>20</v>
      </c>
      <c r="L257" t="s">
        <v>73</v>
      </c>
      <c r="M257" s="1" t="s">
        <v>19</v>
      </c>
      <c r="N257" s="1">
        <v>0.7</v>
      </c>
      <c r="O257" s="1" t="s">
        <v>51</v>
      </c>
    </row>
    <row r="258" spans="1:15" x14ac:dyDescent="0.3">
      <c r="A258" t="s">
        <v>87</v>
      </c>
      <c r="B258" s="1" t="s">
        <v>558</v>
      </c>
      <c r="C258" s="1" t="s">
        <v>578</v>
      </c>
      <c r="D258" s="1" t="s">
        <v>579</v>
      </c>
      <c r="E258" s="1" t="s">
        <v>43</v>
      </c>
      <c r="F258" s="1" t="s">
        <v>505</v>
      </c>
      <c r="G258" s="1">
        <v>1.5</v>
      </c>
      <c r="H258" s="1">
        <v>4.5</v>
      </c>
      <c r="I258" s="1">
        <v>0</v>
      </c>
      <c r="J258" s="1" t="s">
        <v>29</v>
      </c>
      <c r="K258" s="1" t="s">
        <v>20</v>
      </c>
      <c r="L258" t="s">
        <v>21</v>
      </c>
      <c r="M258" s="1" t="s">
        <v>19</v>
      </c>
      <c r="N258" s="1">
        <v>1.4999999999999999E-2</v>
      </c>
      <c r="O258" s="1" t="s">
        <v>37</v>
      </c>
    </row>
    <row r="259" spans="1:15" x14ac:dyDescent="0.3">
      <c r="A259" t="s">
        <v>87</v>
      </c>
      <c r="B259" s="1" t="s">
        <v>558</v>
      </c>
      <c r="C259" s="1" t="s">
        <v>580</v>
      </c>
      <c r="D259" s="1" t="s">
        <v>581</v>
      </c>
      <c r="E259" s="1" t="s">
        <v>582</v>
      </c>
      <c r="F259" s="1">
        <v>1950</v>
      </c>
      <c r="G259" s="1">
        <v>1</v>
      </c>
      <c r="H259" s="1">
        <v>4.7</v>
      </c>
      <c r="I259" s="1">
        <v>0</v>
      </c>
      <c r="J259" s="1" t="s">
        <v>19</v>
      </c>
      <c r="K259" s="1" t="s">
        <v>20</v>
      </c>
      <c r="L259" t="s">
        <v>28</v>
      </c>
      <c r="M259" s="1" t="s">
        <v>19</v>
      </c>
      <c r="N259" s="1">
        <v>0.12</v>
      </c>
      <c r="O259" s="1" t="s">
        <v>51</v>
      </c>
    </row>
    <row r="260" spans="1:15" x14ac:dyDescent="0.3">
      <c r="A260" t="s">
        <v>87</v>
      </c>
      <c r="B260" s="1" t="s">
        <v>558</v>
      </c>
      <c r="C260" s="1" t="s">
        <v>583</v>
      </c>
      <c r="D260" s="1" t="s">
        <v>584</v>
      </c>
      <c r="E260" s="1" t="s">
        <v>27</v>
      </c>
      <c r="F260" s="1">
        <v>198</v>
      </c>
      <c r="G260" s="1">
        <v>1</v>
      </c>
      <c r="H260" s="1">
        <v>4.7</v>
      </c>
      <c r="I260" s="1">
        <v>0</v>
      </c>
      <c r="J260" s="1" t="s">
        <v>19</v>
      </c>
      <c r="K260" s="1" t="s">
        <v>20</v>
      </c>
      <c r="L260" t="s">
        <v>28</v>
      </c>
      <c r="M260" s="1" t="s">
        <v>29</v>
      </c>
      <c r="N260" s="1">
        <v>0.59</v>
      </c>
      <c r="O260" s="1" t="s">
        <v>51</v>
      </c>
    </row>
    <row r="261" spans="1:15" x14ac:dyDescent="0.3">
      <c r="A261" t="s">
        <v>87</v>
      </c>
      <c r="B261" s="1" t="s">
        <v>558</v>
      </c>
      <c r="C261" s="1" t="s">
        <v>561</v>
      </c>
      <c r="D261" s="1" t="s">
        <v>585</v>
      </c>
      <c r="E261" s="1" t="s">
        <v>457</v>
      </c>
      <c r="F261" s="1" t="s">
        <v>67</v>
      </c>
      <c r="G261" s="1">
        <v>2</v>
      </c>
      <c r="H261" s="1">
        <v>4.5</v>
      </c>
      <c r="I261" s="1">
        <v>0</v>
      </c>
      <c r="J261" s="1" t="s">
        <v>19</v>
      </c>
      <c r="K261" s="1" t="s">
        <v>20</v>
      </c>
      <c r="L261" t="s">
        <v>80</v>
      </c>
      <c r="M261" s="1" t="s">
        <v>19</v>
      </c>
      <c r="N261" s="1">
        <v>1.9E-2</v>
      </c>
      <c r="O261" s="1" t="s">
        <v>51</v>
      </c>
    </row>
    <row r="262" spans="1:15" x14ac:dyDescent="0.3">
      <c r="A262" t="s">
        <v>87</v>
      </c>
      <c r="B262" s="1" t="s">
        <v>558</v>
      </c>
      <c r="C262" s="1" t="s">
        <v>561</v>
      </c>
      <c r="D262" s="1" t="s">
        <v>586</v>
      </c>
      <c r="E262" s="1" t="s">
        <v>53</v>
      </c>
      <c r="F262" s="1">
        <v>22</v>
      </c>
      <c r="G262" s="1">
        <v>1</v>
      </c>
      <c r="H262" s="1">
        <v>4.5999999999999996</v>
      </c>
      <c r="I262" s="1">
        <v>40</v>
      </c>
      <c r="J262" s="1" t="s">
        <v>19</v>
      </c>
      <c r="K262" s="1" t="s">
        <v>20</v>
      </c>
      <c r="L262" t="s">
        <v>21</v>
      </c>
      <c r="M262" s="1" t="s">
        <v>19</v>
      </c>
      <c r="N262" s="1">
        <v>0.49</v>
      </c>
      <c r="O262" s="1" t="s">
        <v>51</v>
      </c>
    </row>
    <row r="263" spans="1:15" x14ac:dyDescent="0.3">
      <c r="A263" t="s">
        <v>87</v>
      </c>
      <c r="B263" s="1" t="s">
        <v>558</v>
      </c>
      <c r="C263" s="1" t="s">
        <v>561</v>
      </c>
      <c r="D263" s="1" t="s">
        <v>587</v>
      </c>
      <c r="E263" s="1" t="s">
        <v>263</v>
      </c>
      <c r="F263" s="1" t="s">
        <v>67</v>
      </c>
      <c r="G263" s="1">
        <v>2</v>
      </c>
      <c r="H263" s="1">
        <v>4.5</v>
      </c>
      <c r="I263" s="1">
        <v>60</v>
      </c>
      <c r="J263" s="1" t="s">
        <v>29</v>
      </c>
      <c r="K263" s="1" t="s">
        <v>20</v>
      </c>
      <c r="L263" t="s">
        <v>573</v>
      </c>
      <c r="M263" s="1" t="s">
        <v>19</v>
      </c>
      <c r="N263" s="1">
        <v>0.31</v>
      </c>
      <c r="O263" s="1" t="s">
        <v>25</v>
      </c>
    </row>
    <row r="264" spans="1:15" x14ac:dyDescent="0.3">
      <c r="A264" t="s">
        <v>87</v>
      </c>
      <c r="B264" s="1" t="s">
        <v>558</v>
      </c>
      <c r="C264" s="1" t="s">
        <v>561</v>
      </c>
      <c r="D264" s="1" t="s">
        <v>18</v>
      </c>
      <c r="E264" s="1" t="s">
        <v>18</v>
      </c>
      <c r="F264" s="1" t="s">
        <v>67</v>
      </c>
      <c r="G264" s="1">
        <v>1</v>
      </c>
      <c r="H264" s="1">
        <v>4.5999999999999996</v>
      </c>
      <c r="I264" s="1">
        <v>0</v>
      </c>
      <c r="J264" s="1" t="s">
        <v>19</v>
      </c>
      <c r="K264" s="1" t="s">
        <v>20</v>
      </c>
      <c r="L264" t="s">
        <v>21</v>
      </c>
      <c r="M264" s="1" t="s">
        <v>19</v>
      </c>
      <c r="N264" s="1">
        <v>5.8999999999999997E-2</v>
      </c>
      <c r="O264" s="1" t="s">
        <v>51</v>
      </c>
    </row>
    <row r="265" spans="1:15" x14ac:dyDescent="0.3">
      <c r="A265" t="s">
        <v>87</v>
      </c>
      <c r="B265" s="1" t="s">
        <v>558</v>
      </c>
      <c r="C265" s="1" t="s">
        <v>561</v>
      </c>
      <c r="D265" s="1" t="s">
        <v>588</v>
      </c>
      <c r="E265" s="1" t="s">
        <v>56</v>
      </c>
      <c r="F265" s="1">
        <v>1977</v>
      </c>
      <c r="G265" s="1">
        <v>2</v>
      </c>
      <c r="H265" s="1">
        <v>4.0999999999999996</v>
      </c>
      <c r="I265" s="1">
        <v>20</v>
      </c>
      <c r="J265" s="1" t="s">
        <v>19</v>
      </c>
      <c r="K265" s="1" t="s">
        <v>32</v>
      </c>
      <c r="L265" t="s">
        <v>73</v>
      </c>
      <c r="M265" s="1" t="s">
        <v>19</v>
      </c>
      <c r="N265" s="1">
        <v>0.25</v>
      </c>
      <c r="O265" s="1" t="s">
        <v>25</v>
      </c>
    </row>
    <row r="266" spans="1:15" x14ac:dyDescent="0.3">
      <c r="A266" t="s">
        <v>87</v>
      </c>
      <c r="B266" s="1" t="s">
        <v>558</v>
      </c>
      <c r="C266" s="1" t="s">
        <v>561</v>
      </c>
      <c r="D266" s="1" t="s">
        <v>589</v>
      </c>
      <c r="E266" s="1" t="s">
        <v>590</v>
      </c>
      <c r="F266" s="1" t="s">
        <v>67</v>
      </c>
      <c r="G266" s="1">
        <v>1</v>
      </c>
      <c r="H266" s="1">
        <v>3.8</v>
      </c>
      <c r="I266" s="1">
        <v>20</v>
      </c>
      <c r="J266" s="1" t="s">
        <v>19</v>
      </c>
      <c r="K266" s="1" t="s">
        <v>20</v>
      </c>
      <c r="L266" t="s">
        <v>80</v>
      </c>
      <c r="M266" s="1" t="s">
        <v>19</v>
      </c>
      <c r="N266" s="1">
        <v>0.03</v>
      </c>
      <c r="O266" s="1" t="s">
        <v>51</v>
      </c>
    </row>
    <row r="267" spans="1:15" x14ac:dyDescent="0.3">
      <c r="A267" t="s">
        <v>87</v>
      </c>
      <c r="B267" s="1" t="s">
        <v>558</v>
      </c>
      <c r="C267" s="1" t="s">
        <v>561</v>
      </c>
      <c r="D267" s="1" t="s">
        <v>591</v>
      </c>
      <c r="E267" s="1" t="s">
        <v>53</v>
      </c>
      <c r="F267" s="1">
        <v>1991</v>
      </c>
      <c r="G267" s="1">
        <v>1</v>
      </c>
      <c r="H267" s="1">
        <v>4.3</v>
      </c>
      <c r="I267" s="1">
        <v>10</v>
      </c>
      <c r="J267" s="1" t="s">
        <v>19</v>
      </c>
      <c r="K267" s="1" t="s">
        <v>20</v>
      </c>
      <c r="L267" t="s">
        <v>169</v>
      </c>
      <c r="M267" s="1" t="s">
        <v>19</v>
      </c>
      <c r="N267" s="1">
        <v>6.5000000000000002E-2</v>
      </c>
      <c r="O267" s="1" t="s">
        <v>51</v>
      </c>
    </row>
    <row r="268" spans="1:15" x14ac:dyDescent="0.3">
      <c r="A268" t="s">
        <v>117</v>
      </c>
      <c r="B268" s="1" t="s">
        <v>592</v>
      </c>
      <c r="C268" s="1" t="s">
        <v>593</v>
      </c>
      <c r="D268" s="1" t="s">
        <v>594</v>
      </c>
      <c r="E268" s="1" t="s">
        <v>457</v>
      </c>
      <c r="F268" s="1" t="s">
        <v>67</v>
      </c>
      <c r="G268" s="1">
        <v>2</v>
      </c>
      <c r="H268" s="1">
        <v>4.3</v>
      </c>
      <c r="I268" s="1">
        <v>20</v>
      </c>
      <c r="J268" s="1" t="s">
        <v>19</v>
      </c>
      <c r="K268" s="1" t="s">
        <v>20</v>
      </c>
      <c r="L268" t="s">
        <v>21</v>
      </c>
      <c r="M268" s="1" t="s">
        <v>19</v>
      </c>
      <c r="N268" s="1">
        <v>0.15</v>
      </c>
      <c r="O268" s="1" t="s">
        <v>25</v>
      </c>
    </row>
    <row r="269" spans="1:15" x14ac:dyDescent="0.3">
      <c r="A269" t="s">
        <v>117</v>
      </c>
      <c r="B269" s="1" t="s">
        <v>592</v>
      </c>
      <c r="C269" s="1" t="s">
        <v>595</v>
      </c>
      <c r="D269" s="1" t="s">
        <v>596</v>
      </c>
      <c r="E269" s="1" t="s">
        <v>352</v>
      </c>
      <c r="F269" s="1">
        <v>1705</v>
      </c>
      <c r="G269" s="1">
        <v>1</v>
      </c>
      <c r="H269" s="1">
        <v>4.5999999999999996</v>
      </c>
      <c r="I269" s="1">
        <v>20</v>
      </c>
      <c r="J269" s="1" t="s">
        <v>29</v>
      </c>
      <c r="K269" s="1" t="s">
        <v>20</v>
      </c>
      <c r="L269" t="s">
        <v>28</v>
      </c>
      <c r="M269" s="1" t="s">
        <v>29</v>
      </c>
      <c r="N269" s="1">
        <v>1.4999999999999999E-2</v>
      </c>
      <c r="O269" s="1" t="s">
        <v>37</v>
      </c>
    </row>
    <row r="270" spans="1:15" x14ac:dyDescent="0.3">
      <c r="A270" t="s">
        <v>117</v>
      </c>
      <c r="B270" s="1" t="s">
        <v>592</v>
      </c>
      <c r="C270" s="1" t="s">
        <v>597</v>
      </c>
      <c r="D270" s="1" t="s">
        <v>598</v>
      </c>
      <c r="E270" s="1" t="s">
        <v>599</v>
      </c>
      <c r="F270" s="1">
        <v>211</v>
      </c>
      <c r="G270" s="1">
        <v>2</v>
      </c>
      <c r="H270" s="1">
        <v>4.7</v>
      </c>
      <c r="I270" s="1">
        <v>50</v>
      </c>
      <c r="J270" s="1" t="s">
        <v>19</v>
      </c>
      <c r="K270" s="1" t="s">
        <v>20</v>
      </c>
      <c r="L270" t="s">
        <v>28</v>
      </c>
      <c r="M270" s="1" t="s">
        <v>29</v>
      </c>
      <c r="N270" s="1">
        <v>0.12</v>
      </c>
      <c r="O270" s="1" t="s">
        <v>51</v>
      </c>
    </row>
    <row r="271" spans="1:15" x14ac:dyDescent="0.3">
      <c r="A271" t="s">
        <v>117</v>
      </c>
      <c r="B271" s="1" t="s">
        <v>592</v>
      </c>
      <c r="C271" s="1" t="s">
        <v>593</v>
      </c>
      <c r="D271" s="1" t="s">
        <v>600</v>
      </c>
      <c r="E271" s="1" t="s">
        <v>352</v>
      </c>
      <c r="F271" s="1" t="s">
        <v>601</v>
      </c>
      <c r="G271" s="1">
        <v>1</v>
      </c>
      <c r="H271" s="1">
        <v>4.5999999999999996</v>
      </c>
      <c r="I271" s="1">
        <v>10</v>
      </c>
      <c r="J271" s="1" t="s">
        <v>19</v>
      </c>
      <c r="K271" s="1" t="s">
        <v>20</v>
      </c>
      <c r="L271" t="s">
        <v>28</v>
      </c>
      <c r="M271" s="1" t="s">
        <v>29</v>
      </c>
      <c r="N271" s="1">
        <v>3.5000000000000003E-2</v>
      </c>
      <c r="O271" s="1" t="s">
        <v>37</v>
      </c>
    </row>
    <row r="272" spans="1:15" x14ac:dyDescent="0.3">
      <c r="A272" t="s">
        <v>117</v>
      </c>
      <c r="B272" s="1" t="s">
        <v>592</v>
      </c>
      <c r="C272" s="1" t="s">
        <v>602</v>
      </c>
      <c r="D272" s="1" t="s">
        <v>603</v>
      </c>
      <c r="E272" s="1" t="s">
        <v>47</v>
      </c>
      <c r="F272" s="1">
        <v>213</v>
      </c>
      <c r="G272" s="1">
        <v>1</v>
      </c>
      <c r="H272" s="1">
        <v>4.8</v>
      </c>
      <c r="I272" s="1">
        <v>50</v>
      </c>
      <c r="J272" s="1" t="s">
        <v>19</v>
      </c>
      <c r="K272" s="1" t="s">
        <v>20</v>
      </c>
      <c r="L272" t="s">
        <v>169</v>
      </c>
      <c r="M272" s="1" t="s">
        <v>19</v>
      </c>
      <c r="N272" s="1">
        <v>0.1</v>
      </c>
      <c r="O272" s="1" t="s">
        <v>51</v>
      </c>
    </row>
    <row r="273" spans="1:15" x14ac:dyDescent="0.3">
      <c r="A273" t="s">
        <v>117</v>
      </c>
      <c r="B273" s="1" t="s">
        <v>592</v>
      </c>
      <c r="C273" s="1" t="s">
        <v>593</v>
      </c>
      <c r="D273" s="1" t="s">
        <v>604</v>
      </c>
      <c r="E273" s="1" t="s">
        <v>27</v>
      </c>
      <c r="F273" s="1">
        <v>1967</v>
      </c>
      <c r="G273" s="1">
        <v>1</v>
      </c>
      <c r="H273" s="1">
        <v>4.7</v>
      </c>
      <c r="I273" s="1">
        <v>0</v>
      </c>
      <c r="J273" s="1" t="s">
        <v>19</v>
      </c>
      <c r="K273" s="1" t="s">
        <v>20</v>
      </c>
      <c r="L273" t="s">
        <v>28</v>
      </c>
      <c r="M273" s="1" t="s">
        <v>29</v>
      </c>
      <c r="N273" s="1">
        <v>7.4999999999999997E-2</v>
      </c>
      <c r="O273" s="1" t="s">
        <v>51</v>
      </c>
    </row>
    <row r="274" spans="1:15" x14ac:dyDescent="0.3">
      <c r="A274" t="s">
        <v>117</v>
      </c>
      <c r="B274" s="1" t="s">
        <v>592</v>
      </c>
      <c r="C274" s="1" t="s">
        <v>593</v>
      </c>
      <c r="D274" s="1" t="s">
        <v>605</v>
      </c>
      <c r="E274" s="1" t="s">
        <v>106</v>
      </c>
      <c r="F274" s="1" t="s">
        <v>67</v>
      </c>
      <c r="G274" s="1">
        <v>2</v>
      </c>
      <c r="H274" s="1">
        <v>4.5</v>
      </c>
      <c r="I274" s="1">
        <v>0</v>
      </c>
      <c r="J274" s="1" t="s">
        <v>19</v>
      </c>
      <c r="K274" s="1" t="s">
        <v>20</v>
      </c>
      <c r="L274" t="s">
        <v>94</v>
      </c>
      <c r="M274" s="1" t="s">
        <v>19</v>
      </c>
      <c r="N274" s="1">
        <v>0.15</v>
      </c>
      <c r="O274" s="1" t="s">
        <v>37</v>
      </c>
    </row>
    <row r="275" spans="1:15" x14ac:dyDescent="0.3">
      <c r="A275" t="s">
        <v>606</v>
      </c>
      <c r="B275" s="1" t="s">
        <v>607</v>
      </c>
      <c r="C275" s="1" t="s">
        <v>608</v>
      </c>
      <c r="D275" s="1" t="s">
        <v>609</v>
      </c>
      <c r="E275" s="1" t="s">
        <v>27</v>
      </c>
      <c r="F275" s="1" t="s">
        <v>67</v>
      </c>
      <c r="G275" s="1">
        <v>2</v>
      </c>
      <c r="H275" s="1">
        <v>4.5999999999999996</v>
      </c>
      <c r="I275" s="1">
        <v>0</v>
      </c>
      <c r="J275" s="1" t="s">
        <v>19</v>
      </c>
      <c r="K275" s="1" t="s">
        <v>20</v>
      </c>
      <c r="L275" t="s">
        <v>28</v>
      </c>
      <c r="M275" s="1" t="s">
        <v>29</v>
      </c>
      <c r="N275" s="1">
        <v>0.21</v>
      </c>
      <c r="O275" s="1" t="s">
        <v>51</v>
      </c>
    </row>
    <row r="276" spans="1:15" x14ac:dyDescent="0.3">
      <c r="A276" t="s">
        <v>606</v>
      </c>
      <c r="B276" s="1" t="s">
        <v>607</v>
      </c>
      <c r="C276" s="1" t="s">
        <v>610</v>
      </c>
      <c r="D276" s="1" t="s">
        <v>611</v>
      </c>
      <c r="E276" s="1" t="s">
        <v>72</v>
      </c>
      <c r="F276" s="1">
        <v>1905</v>
      </c>
      <c r="G276" s="1">
        <v>3</v>
      </c>
      <c r="H276" s="1">
        <v>4.5</v>
      </c>
      <c r="I276" s="1">
        <v>650</v>
      </c>
      <c r="J276" s="1" t="s">
        <v>29</v>
      </c>
      <c r="K276" s="1" t="s">
        <v>20</v>
      </c>
      <c r="L276" t="s">
        <v>73</v>
      </c>
      <c r="M276" s="1" t="s">
        <v>29</v>
      </c>
      <c r="N276" s="1">
        <v>6.8000000000000005E-2</v>
      </c>
      <c r="O276" s="1" t="s">
        <v>37</v>
      </c>
    </row>
    <row r="277" spans="1:15" x14ac:dyDescent="0.3">
      <c r="A277" t="s">
        <v>606</v>
      </c>
      <c r="B277" s="1" t="s">
        <v>607</v>
      </c>
      <c r="C277" s="1" t="s">
        <v>608</v>
      </c>
      <c r="D277" s="1" t="s">
        <v>612</v>
      </c>
      <c r="E277" s="1" t="s">
        <v>613</v>
      </c>
      <c r="F277" s="1" t="s">
        <v>67</v>
      </c>
      <c r="G277" s="1">
        <v>1</v>
      </c>
      <c r="H277" s="1">
        <v>4.0999999999999996</v>
      </c>
      <c r="I277" s="1">
        <v>0</v>
      </c>
      <c r="J277" s="1" t="s">
        <v>19</v>
      </c>
      <c r="K277" s="1" t="s">
        <v>20</v>
      </c>
      <c r="L277" t="s">
        <v>94</v>
      </c>
      <c r="M277" s="1" t="s">
        <v>19</v>
      </c>
      <c r="N277" s="1">
        <v>0.01</v>
      </c>
      <c r="O277" s="1" t="s">
        <v>37</v>
      </c>
    </row>
    <row r="278" spans="1:15" x14ac:dyDescent="0.3">
      <c r="A278" t="s">
        <v>606</v>
      </c>
      <c r="B278" s="1" t="s">
        <v>607</v>
      </c>
      <c r="C278" s="1" t="s">
        <v>614</v>
      </c>
      <c r="D278" s="1" t="s">
        <v>615</v>
      </c>
      <c r="E278" s="1" t="s">
        <v>27</v>
      </c>
      <c r="F278" s="1">
        <v>1734</v>
      </c>
      <c r="G278" s="1">
        <v>1</v>
      </c>
      <c r="H278" s="1">
        <v>4.7</v>
      </c>
      <c r="I278" s="1">
        <v>0</v>
      </c>
      <c r="J278" s="1" t="s">
        <v>29</v>
      </c>
      <c r="K278" s="1" t="s">
        <v>20</v>
      </c>
      <c r="L278" t="s">
        <v>21</v>
      </c>
      <c r="M278" s="1" t="s">
        <v>19</v>
      </c>
      <c r="N278" s="1">
        <v>6.5000000000000002E-2</v>
      </c>
      <c r="O278" s="1" t="s">
        <v>51</v>
      </c>
    </row>
    <row r="279" spans="1:15" x14ac:dyDescent="0.3">
      <c r="A279" t="s">
        <v>606</v>
      </c>
      <c r="B279" s="1" t="s">
        <v>607</v>
      </c>
      <c r="C279" s="1" t="s">
        <v>616</v>
      </c>
      <c r="D279" s="1" t="s">
        <v>617</v>
      </c>
      <c r="E279" s="1" t="s">
        <v>618</v>
      </c>
      <c r="F279" s="1" t="s">
        <v>67</v>
      </c>
      <c r="G279" s="1">
        <v>2</v>
      </c>
      <c r="H279" s="1">
        <v>4.7</v>
      </c>
      <c r="I279" s="1">
        <v>0</v>
      </c>
      <c r="J279" s="1" t="s">
        <v>29</v>
      </c>
      <c r="K279" s="1" t="s">
        <v>20</v>
      </c>
      <c r="L279" t="s">
        <v>169</v>
      </c>
      <c r="M279" s="1" t="s">
        <v>19</v>
      </c>
      <c r="N279" s="1">
        <v>0.01</v>
      </c>
      <c r="O279" s="1" t="s">
        <v>37</v>
      </c>
    </row>
    <row r="280" spans="1:15" x14ac:dyDescent="0.3">
      <c r="A280" t="s">
        <v>606</v>
      </c>
      <c r="B280" s="1" t="s">
        <v>607</v>
      </c>
      <c r="C280" s="1" t="s">
        <v>619</v>
      </c>
      <c r="D280" s="1" t="s">
        <v>620</v>
      </c>
      <c r="E280" s="1" t="s">
        <v>72</v>
      </c>
      <c r="F280" s="1">
        <v>1990</v>
      </c>
      <c r="G280" s="1">
        <v>3</v>
      </c>
      <c r="H280" s="1">
        <v>4.5999999999999996</v>
      </c>
      <c r="I280" s="1">
        <v>500</v>
      </c>
      <c r="J280" s="1" t="s">
        <v>29</v>
      </c>
      <c r="K280" s="1" t="s">
        <v>20</v>
      </c>
      <c r="L280" t="s">
        <v>73</v>
      </c>
      <c r="M280" s="1" t="s">
        <v>19</v>
      </c>
      <c r="N280" s="1">
        <v>0.19</v>
      </c>
      <c r="O280" s="1" t="s">
        <v>37</v>
      </c>
    </row>
    <row r="281" spans="1:15" x14ac:dyDescent="0.3">
      <c r="A281" t="s">
        <v>606</v>
      </c>
      <c r="B281" s="1" t="s">
        <v>607</v>
      </c>
      <c r="C281" s="1" t="s">
        <v>621</v>
      </c>
      <c r="D281" s="1" t="s">
        <v>622</v>
      </c>
      <c r="E281" s="1" t="s">
        <v>27</v>
      </c>
      <c r="F281" s="1" t="s">
        <v>67</v>
      </c>
      <c r="G281" s="1">
        <v>1</v>
      </c>
      <c r="H281" s="1">
        <v>4.5</v>
      </c>
      <c r="I281" s="1">
        <v>0</v>
      </c>
      <c r="J281" s="1" t="s">
        <v>29</v>
      </c>
      <c r="K281" s="1" t="s">
        <v>20</v>
      </c>
      <c r="L281" t="s">
        <v>28</v>
      </c>
      <c r="M281" s="1" t="s">
        <v>19</v>
      </c>
      <c r="N281" s="1">
        <v>0.9</v>
      </c>
      <c r="O281" s="1" t="s">
        <v>51</v>
      </c>
    </row>
    <row r="282" spans="1:15" x14ac:dyDescent="0.3">
      <c r="A282" t="s">
        <v>606</v>
      </c>
      <c r="B282" s="1" t="s">
        <v>607</v>
      </c>
      <c r="C282" s="1" t="s">
        <v>608</v>
      </c>
      <c r="D282" s="1" t="s">
        <v>623</v>
      </c>
      <c r="E282" s="1" t="s">
        <v>190</v>
      </c>
      <c r="F282" s="1">
        <v>1987</v>
      </c>
      <c r="G282" s="1">
        <v>2</v>
      </c>
      <c r="H282" s="1">
        <v>4.4000000000000004</v>
      </c>
      <c r="I282" s="1">
        <v>500</v>
      </c>
      <c r="J282" s="1" t="s">
        <v>19</v>
      </c>
      <c r="K282" s="1" t="s">
        <v>20</v>
      </c>
      <c r="L282" t="s">
        <v>73</v>
      </c>
      <c r="M282" s="1" t="s">
        <v>19</v>
      </c>
      <c r="N282" s="1">
        <v>3.6999999999999998E-2</v>
      </c>
      <c r="O282" s="1" t="s">
        <v>51</v>
      </c>
    </row>
    <row r="283" spans="1:15" x14ac:dyDescent="0.3">
      <c r="A283" t="s">
        <v>606</v>
      </c>
      <c r="B283" s="1" t="s">
        <v>624</v>
      </c>
      <c r="C283" s="1" t="s">
        <v>625</v>
      </c>
      <c r="D283" s="1" t="s">
        <v>626</v>
      </c>
      <c r="E283" s="1" t="s">
        <v>352</v>
      </c>
      <c r="F283" s="1">
        <v>1680</v>
      </c>
      <c r="G283" s="1">
        <v>2</v>
      </c>
      <c r="H283" s="1">
        <v>4.7</v>
      </c>
      <c r="I283" s="1">
        <v>0</v>
      </c>
      <c r="J283" s="1" t="s">
        <v>29</v>
      </c>
      <c r="K283" s="1" t="s">
        <v>20</v>
      </c>
      <c r="L283" t="s">
        <v>28</v>
      </c>
      <c r="M283" s="1" t="s">
        <v>29</v>
      </c>
      <c r="N283" s="1">
        <v>3.2000000000000001E-2</v>
      </c>
      <c r="O283" s="1" t="s">
        <v>37</v>
      </c>
    </row>
    <row r="284" spans="1:15" x14ac:dyDescent="0.3">
      <c r="A284" t="s">
        <v>606</v>
      </c>
      <c r="B284" s="1" t="s">
        <v>627</v>
      </c>
      <c r="C284" s="1" t="s">
        <v>628</v>
      </c>
      <c r="D284" s="1" t="s">
        <v>629</v>
      </c>
      <c r="E284" s="1" t="s">
        <v>91</v>
      </c>
      <c r="F284" s="1">
        <v>1901</v>
      </c>
      <c r="G284" s="1">
        <v>1.5</v>
      </c>
      <c r="H284" s="1">
        <v>4.5</v>
      </c>
      <c r="I284" s="1">
        <v>10</v>
      </c>
      <c r="J284" s="1" t="s">
        <v>19</v>
      </c>
      <c r="K284" s="1" t="s">
        <v>32</v>
      </c>
      <c r="L284" t="s">
        <v>21</v>
      </c>
      <c r="M284" s="1" t="s">
        <v>19</v>
      </c>
      <c r="N284" s="1">
        <v>3.5000000000000003E-2</v>
      </c>
      <c r="O284" s="1" t="s">
        <v>51</v>
      </c>
    </row>
    <row r="285" spans="1:15" x14ac:dyDescent="0.3">
      <c r="A285" t="s">
        <v>606</v>
      </c>
      <c r="B285" s="1" t="s">
        <v>627</v>
      </c>
      <c r="C285" s="1" t="s">
        <v>630</v>
      </c>
      <c r="D285" s="1" t="s">
        <v>631</v>
      </c>
      <c r="E285" s="1" t="s">
        <v>106</v>
      </c>
      <c r="F285" s="1" t="s">
        <v>67</v>
      </c>
      <c r="G285" s="1">
        <v>1</v>
      </c>
      <c r="H285" s="1">
        <v>4.5</v>
      </c>
      <c r="I285" s="1">
        <v>0</v>
      </c>
      <c r="J285" s="1" t="s">
        <v>29</v>
      </c>
      <c r="K285" s="1" t="s">
        <v>20</v>
      </c>
      <c r="L285" t="s">
        <v>94</v>
      </c>
      <c r="M285" s="1" t="s">
        <v>19</v>
      </c>
      <c r="N285" s="1">
        <v>0.01</v>
      </c>
      <c r="O285" s="1" t="s">
        <v>37</v>
      </c>
    </row>
    <row r="286" spans="1:15" x14ac:dyDescent="0.3">
      <c r="A286" t="s">
        <v>606</v>
      </c>
      <c r="B286" s="1" t="s">
        <v>627</v>
      </c>
      <c r="C286" s="1" t="s">
        <v>632</v>
      </c>
      <c r="D286" s="1" t="s">
        <v>633</v>
      </c>
      <c r="E286" s="1" t="s">
        <v>634</v>
      </c>
      <c r="F286" s="1">
        <v>700</v>
      </c>
      <c r="G286" s="1">
        <v>1.5</v>
      </c>
      <c r="H286" s="1">
        <v>4.5</v>
      </c>
      <c r="I286" s="1">
        <v>20</v>
      </c>
      <c r="J286" s="1" t="s">
        <v>29</v>
      </c>
      <c r="K286" s="1" t="s">
        <v>20</v>
      </c>
      <c r="L286" t="s">
        <v>21</v>
      </c>
      <c r="M286" s="1" t="s">
        <v>19</v>
      </c>
      <c r="N286" s="1">
        <v>2.5000000000000001E-2</v>
      </c>
      <c r="O286" s="1" t="s">
        <v>37</v>
      </c>
    </row>
    <row r="287" spans="1:15" x14ac:dyDescent="0.3">
      <c r="A287" t="s">
        <v>306</v>
      </c>
      <c r="B287" s="1" t="s">
        <v>635</v>
      </c>
      <c r="C287" s="1" t="s">
        <v>636</v>
      </c>
      <c r="D287" s="1" t="s">
        <v>637</v>
      </c>
      <c r="E287" s="1" t="s">
        <v>142</v>
      </c>
      <c r="F287" s="1" t="s">
        <v>67</v>
      </c>
      <c r="G287" s="1">
        <v>1.5</v>
      </c>
      <c r="H287" s="1">
        <v>4.5999999999999996</v>
      </c>
      <c r="I287" s="1">
        <v>0</v>
      </c>
      <c r="J287" s="1" t="s">
        <v>29</v>
      </c>
      <c r="K287" s="1" t="s">
        <v>20</v>
      </c>
      <c r="L287" t="s">
        <v>94</v>
      </c>
      <c r="M287" s="1" t="s">
        <v>19</v>
      </c>
      <c r="N287" s="1">
        <v>0.19</v>
      </c>
      <c r="O287" s="1" t="s">
        <v>37</v>
      </c>
    </row>
    <row r="288" spans="1:15" x14ac:dyDescent="0.3">
      <c r="A288" t="s">
        <v>606</v>
      </c>
      <c r="B288" s="1" t="s">
        <v>638</v>
      </c>
      <c r="C288" s="1" t="s">
        <v>639</v>
      </c>
      <c r="D288" s="1" t="s">
        <v>639</v>
      </c>
      <c r="E288" s="1" t="s">
        <v>300</v>
      </c>
      <c r="F288" s="1" t="s">
        <v>67</v>
      </c>
      <c r="G288" s="1">
        <v>3</v>
      </c>
      <c r="H288" s="1">
        <v>4.7</v>
      </c>
      <c r="I288" s="1">
        <v>0</v>
      </c>
      <c r="J288" s="1" t="s">
        <v>29</v>
      </c>
      <c r="K288" s="1" t="s">
        <v>20</v>
      </c>
      <c r="L288" t="s">
        <v>372</v>
      </c>
      <c r="M288" s="1" t="s">
        <v>19</v>
      </c>
      <c r="N288" s="1">
        <v>0.01</v>
      </c>
      <c r="O288" s="1" t="s">
        <v>25</v>
      </c>
    </row>
    <row r="289" spans="1:15" x14ac:dyDescent="0.3">
      <c r="A289" t="s">
        <v>87</v>
      </c>
      <c r="B289" s="1" t="s">
        <v>640</v>
      </c>
      <c r="C289" s="1" t="s">
        <v>640</v>
      </c>
      <c r="D289" s="1" t="s">
        <v>641</v>
      </c>
      <c r="E289" s="1" t="s">
        <v>79</v>
      </c>
      <c r="F289" s="1" t="s">
        <v>67</v>
      </c>
      <c r="G289" s="1">
        <v>1</v>
      </c>
      <c r="H289" s="1">
        <v>4.5</v>
      </c>
      <c r="I289" s="1">
        <v>0</v>
      </c>
      <c r="J289" s="1" t="s">
        <v>19</v>
      </c>
      <c r="K289" s="1" t="s">
        <v>20</v>
      </c>
      <c r="L289" t="s">
        <v>80</v>
      </c>
      <c r="M289" s="1" t="s">
        <v>19</v>
      </c>
      <c r="N289" s="1">
        <v>0.09</v>
      </c>
      <c r="O289" s="1" t="s">
        <v>37</v>
      </c>
    </row>
    <row r="290" spans="1:15" x14ac:dyDescent="0.3">
      <c r="A290" t="s">
        <v>87</v>
      </c>
      <c r="B290" s="1" t="s">
        <v>640</v>
      </c>
      <c r="C290" s="1" t="s">
        <v>642</v>
      </c>
      <c r="D290" s="1" t="s">
        <v>642</v>
      </c>
      <c r="E290" s="1" t="s">
        <v>643</v>
      </c>
      <c r="F290" s="1">
        <v>1968</v>
      </c>
      <c r="G290" s="1">
        <v>2</v>
      </c>
      <c r="H290" s="1">
        <v>4.0999999999999996</v>
      </c>
      <c r="I290" s="1">
        <v>0</v>
      </c>
      <c r="J290" s="1" t="s">
        <v>19</v>
      </c>
      <c r="K290" s="1" t="s">
        <v>20</v>
      </c>
      <c r="L290" t="s">
        <v>169</v>
      </c>
      <c r="M290" s="1" t="s">
        <v>19</v>
      </c>
      <c r="N290" s="1">
        <v>3.5000000000000003E-2</v>
      </c>
      <c r="O290" s="1" t="s">
        <v>51</v>
      </c>
    </row>
    <row r="291" spans="1:15" x14ac:dyDescent="0.3">
      <c r="A291" t="s">
        <v>87</v>
      </c>
      <c r="B291" s="1" t="s">
        <v>640</v>
      </c>
      <c r="C291" s="1" t="s">
        <v>640</v>
      </c>
      <c r="D291" s="1" t="s">
        <v>644</v>
      </c>
      <c r="E291" s="1" t="s">
        <v>79</v>
      </c>
      <c r="F291" s="1" t="s">
        <v>67</v>
      </c>
      <c r="G291" s="1">
        <v>1</v>
      </c>
      <c r="H291" s="1">
        <v>4.5</v>
      </c>
      <c r="I291" s="1">
        <v>200</v>
      </c>
      <c r="J291" s="1" t="s">
        <v>19</v>
      </c>
      <c r="K291" s="1" t="s">
        <v>20</v>
      </c>
      <c r="L291" t="s">
        <v>80</v>
      </c>
      <c r="M291" s="1" t="s">
        <v>19</v>
      </c>
      <c r="N291" s="1">
        <v>1.4999999999999999E-2</v>
      </c>
      <c r="O291" s="1" t="s">
        <v>37</v>
      </c>
    </row>
    <row r="292" spans="1:15" x14ac:dyDescent="0.3">
      <c r="A292" t="s">
        <v>87</v>
      </c>
      <c r="B292" s="1" t="s">
        <v>645</v>
      </c>
      <c r="C292" s="1" t="s">
        <v>646</v>
      </c>
      <c r="D292" s="1" t="s">
        <v>647</v>
      </c>
      <c r="E292" s="1" t="s">
        <v>103</v>
      </c>
      <c r="F292" s="1">
        <v>1906</v>
      </c>
      <c r="G292" s="1">
        <v>1.5</v>
      </c>
      <c r="H292" s="1">
        <v>4.7</v>
      </c>
      <c r="I292" s="1">
        <v>30</v>
      </c>
      <c r="J292" s="1" t="s">
        <v>19</v>
      </c>
      <c r="K292" s="1" t="s">
        <v>32</v>
      </c>
      <c r="L292" t="s">
        <v>21</v>
      </c>
      <c r="M292" s="1" t="s">
        <v>19</v>
      </c>
      <c r="N292" s="1">
        <v>0.12</v>
      </c>
      <c r="O292" s="1" t="s">
        <v>25</v>
      </c>
    </row>
    <row r="293" spans="1:15" x14ac:dyDescent="0.3">
      <c r="A293" t="s">
        <v>87</v>
      </c>
      <c r="B293" s="1" t="s">
        <v>645</v>
      </c>
      <c r="C293" s="1" t="s">
        <v>648</v>
      </c>
      <c r="D293" s="1" t="s">
        <v>649</v>
      </c>
      <c r="E293" s="1" t="s">
        <v>79</v>
      </c>
      <c r="F293" s="1" t="s">
        <v>67</v>
      </c>
      <c r="G293" s="1">
        <v>1</v>
      </c>
      <c r="H293" s="1">
        <v>4.8</v>
      </c>
      <c r="I293" s="1">
        <v>0</v>
      </c>
      <c r="J293" s="1" t="s">
        <v>29</v>
      </c>
      <c r="K293" s="1" t="s">
        <v>20</v>
      </c>
      <c r="L293" t="s">
        <v>94</v>
      </c>
      <c r="M293" s="1" t="s">
        <v>19</v>
      </c>
      <c r="N293" s="1">
        <v>0.09</v>
      </c>
      <c r="O293" s="1" t="s">
        <v>37</v>
      </c>
    </row>
    <row r="294" spans="1:15" x14ac:dyDescent="0.3">
      <c r="A294" t="s">
        <v>87</v>
      </c>
      <c r="B294" s="1" t="s">
        <v>645</v>
      </c>
      <c r="C294" s="1" t="s">
        <v>650</v>
      </c>
      <c r="D294" s="1" t="s">
        <v>651</v>
      </c>
      <c r="E294" s="1" t="s">
        <v>79</v>
      </c>
      <c r="F294" s="1" t="s">
        <v>67</v>
      </c>
      <c r="G294" s="1">
        <v>1</v>
      </c>
      <c r="H294" s="1">
        <v>4.5</v>
      </c>
      <c r="I294" s="1">
        <v>0</v>
      </c>
      <c r="J294" s="1" t="s">
        <v>29</v>
      </c>
      <c r="K294" s="1" t="s">
        <v>20</v>
      </c>
      <c r="L294" t="s">
        <v>94</v>
      </c>
      <c r="M294" s="1" t="s">
        <v>19</v>
      </c>
      <c r="N294" s="1">
        <v>0.04</v>
      </c>
      <c r="O294" s="1" t="s">
        <v>37</v>
      </c>
    </row>
    <row r="295" spans="1:15" x14ac:dyDescent="0.3">
      <c r="A295" t="s">
        <v>87</v>
      </c>
      <c r="B295" s="1" t="s">
        <v>645</v>
      </c>
      <c r="C295" s="1" t="s">
        <v>652</v>
      </c>
      <c r="D295" s="1" t="s">
        <v>653</v>
      </c>
      <c r="E295" s="1" t="s">
        <v>654</v>
      </c>
      <c r="F295" s="1" t="s">
        <v>67</v>
      </c>
      <c r="G295" s="1">
        <v>1.5</v>
      </c>
      <c r="H295" s="1">
        <v>4.4000000000000004</v>
      </c>
      <c r="I295" s="1">
        <v>250</v>
      </c>
      <c r="J295" s="1" t="s">
        <v>29</v>
      </c>
      <c r="K295" s="1" t="s">
        <v>20</v>
      </c>
      <c r="L295" t="s">
        <v>94</v>
      </c>
      <c r="M295" s="1" t="s">
        <v>19</v>
      </c>
      <c r="N295" s="1">
        <v>1.4999999999999999E-2</v>
      </c>
      <c r="O295" s="1" t="s">
        <v>37</v>
      </c>
    </row>
    <row r="296" spans="1:15" x14ac:dyDescent="0.3">
      <c r="A296" t="s">
        <v>62</v>
      </c>
      <c r="B296" s="1" t="s">
        <v>655</v>
      </c>
      <c r="C296" s="1" t="s">
        <v>656</v>
      </c>
      <c r="D296" s="1" t="s">
        <v>657</v>
      </c>
      <c r="E296" s="1" t="s">
        <v>263</v>
      </c>
      <c r="F296" s="1" t="s">
        <v>67</v>
      </c>
      <c r="G296" s="1">
        <v>1</v>
      </c>
      <c r="H296" s="1">
        <v>4.5</v>
      </c>
      <c r="I296" s="1">
        <v>0</v>
      </c>
      <c r="J296" s="1" t="s">
        <v>29</v>
      </c>
      <c r="K296" s="1" t="s">
        <v>20</v>
      </c>
      <c r="L296" t="s">
        <v>94</v>
      </c>
      <c r="M296" s="1" t="s">
        <v>19</v>
      </c>
      <c r="N296" s="1">
        <v>0.6</v>
      </c>
      <c r="O296" s="1" t="s">
        <v>25</v>
      </c>
    </row>
    <row r="297" spans="1:15" x14ac:dyDescent="0.3">
      <c r="A297" t="s">
        <v>62</v>
      </c>
      <c r="B297" s="1" t="s">
        <v>655</v>
      </c>
      <c r="C297" s="1" t="s">
        <v>656</v>
      </c>
      <c r="D297" s="1" t="s">
        <v>658</v>
      </c>
      <c r="E297" s="1" t="s">
        <v>43</v>
      </c>
      <c r="F297" s="1">
        <v>1535</v>
      </c>
      <c r="G297" s="1">
        <v>1.5</v>
      </c>
      <c r="H297" s="1">
        <v>4.5999999999999996</v>
      </c>
      <c r="I297" s="1">
        <v>0</v>
      </c>
      <c r="J297" s="1" t="s">
        <v>29</v>
      </c>
      <c r="K297" s="1" t="s">
        <v>20</v>
      </c>
      <c r="L297" t="s">
        <v>21</v>
      </c>
      <c r="M297" s="1" t="s">
        <v>19</v>
      </c>
      <c r="N297" s="1">
        <v>1.2</v>
      </c>
      <c r="O297" s="1" t="s">
        <v>25</v>
      </c>
    </row>
    <row r="298" spans="1:15" x14ac:dyDescent="0.3">
      <c r="A298" t="s">
        <v>117</v>
      </c>
      <c r="B298" s="1" t="s">
        <v>659</v>
      </c>
      <c r="C298" s="1" t="s">
        <v>660</v>
      </c>
      <c r="D298" s="1" t="s">
        <v>661</v>
      </c>
      <c r="E298" s="1" t="s">
        <v>27</v>
      </c>
      <c r="F298" s="1" t="s">
        <v>67</v>
      </c>
      <c r="G298" s="1">
        <v>1</v>
      </c>
      <c r="H298" s="1">
        <v>4.7</v>
      </c>
      <c r="I298" s="1">
        <v>0</v>
      </c>
      <c r="J298" s="1" t="s">
        <v>19</v>
      </c>
      <c r="K298" s="1" t="s">
        <v>20</v>
      </c>
      <c r="L298" t="s">
        <v>28</v>
      </c>
      <c r="M298" s="1" t="s">
        <v>19</v>
      </c>
      <c r="N298" s="1">
        <v>1.8</v>
      </c>
      <c r="O298" s="1" t="s">
        <v>51</v>
      </c>
    </row>
    <row r="299" spans="1:15" x14ac:dyDescent="0.3">
      <c r="A299" t="s">
        <v>117</v>
      </c>
      <c r="B299" s="1" t="s">
        <v>659</v>
      </c>
      <c r="C299" s="1" t="s">
        <v>662</v>
      </c>
      <c r="D299" s="1" t="s">
        <v>663</v>
      </c>
      <c r="E299" s="1" t="s">
        <v>27</v>
      </c>
      <c r="F299" s="1" t="s">
        <v>67</v>
      </c>
      <c r="G299" s="1">
        <v>1</v>
      </c>
      <c r="H299" s="1">
        <v>4.5999999999999996</v>
      </c>
      <c r="I299" s="1">
        <v>0</v>
      </c>
      <c r="J299" s="1" t="s">
        <v>19</v>
      </c>
      <c r="K299" s="1" t="s">
        <v>20</v>
      </c>
      <c r="L299" t="s">
        <v>28</v>
      </c>
      <c r="M299" s="1" t="s">
        <v>19</v>
      </c>
      <c r="N299" s="1">
        <v>0.13</v>
      </c>
      <c r="O299" s="1" t="s">
        <v>51</v>
      </c>
    </row>
    <row r="300" spans="1:15" x14ac:dyDescent="0.3">
      <c r="A300" t="s">
        <v>117</v>
      </c>
      <c r="B300" s="1" t="s">
        <v>664</v>
      </c>
      <c r="C300" s="1" t="s">
        <v>665</v>
      </c>
      <c r="D300" s="1" t="s">
        <v>666</v>
      </c>
      <c r="E300" s="1" t="s">
        <v>27</v>
      </c>
      <c r="F300" s="1">
        <v>-260</v>
      </c>
      <c r="G300" s="1">
        <v>1.5</v>
      </c>
      <c r="H300" s="1">
        <v>4.7</v>
      </c>
      <c r="I300" s="1">
        <v>0</v>
      </c>
      <c r="J300" s="1" t="s">
        <v>19</v>
      </c>
      <c r="K300" s="1" t="s">
        <v>20</v>
      </c>
      <c r="L300" t="s">
        <v>28</v>
      </c>
      <c r="M300" s="1" t="s">
        <v>19</v>
      </c>
      <c r="N300" s="1">
        <v>0.2</v>
      </c>
      <c r="O300" s="1" t="s">
        <v>51</v>
      </c>
    </row>
    <row r="301" spans="1:15" x14ac:dyDescent="0.3">
      <c r="A301" t="s">
        <v>117</v>
      </c>
      <c r="B301" s="1" t="s">
        <v>664</v>
      </c>
      <c r="C301" s="1" t="s">
        <v>667</v>
      </c>
      <c r="D301" s="1" t="s">
        <v>668</v>
      </c>
      <c r="E301" s="1" t="s">
        <v>56</v>
      </c>
      <c r="F301" s="1" t="s">
        <v>67</v>
      </c>
      <c r="G301" s="1">
        <v>2.5</v>
      </c>
      <c r="H301" s="1">
        <v>4.3</v>
      </c>
      <c r="I301" s="1">
        <v>30</v>
      </c>
      <c r="J301" s="1" t="s">
        <v>19</v>
      </c>
      <c r="K301" s="1" t="s">
        <v>20</v>
      </c>
      <c r="L301" t="s">
        <v>73</v>
      </c>
      <c r="M301" s="1" t="s">
        <v>19</v>
      </c>
      <c r="N301" s="1">
        <v>0.5</v>
      </c>
      <c r="O301" s="1" t="s">
        <v>51</v>
      </c>
    </row>
    <row r="302" spans="1:15" x14ac:dyDescent="0.3">
      <c r="A302" t="s">
        <v>117</v>
      </c>
      <c r="B302" s="1" t="s">
        <v>664</v>
      </c>
      <c r="C302" s="1" t="s">
        <v>667</v>
      </c>
      <c r="D302" s="1" t="s">
        <v>669</v>
      </c>
      <c r="E302" s="1" t="s">
        <v>375</v>
      </c>
      <c r="F302" s="1" t="s">
        <v>67</v>
      </c>
      <c r="G302" s="1">
        <v>1</v>
      </c>
      <c r="H302" s="1">
        <v>4.7</v>
      </c>
      <c r="I302" s="1">
        <v>0</v>
      </c>
      <c r="J302" s="1" t="s">
        <v>19</v>
      </c>
      <c r="K302" s="1" t="s">
        <v>20</v>
      </c>
      <c r="L302" t="s">
        <v>28</v>
      </c>
      <c r="M302" s="1" t="s">
        <v>19</v>
      </c>
      <c r="N302" s="1">
        <v>0.25</v>
      </c>
      <c r="O302" s="1" t="s">
        <v>51</v>
      </c>
    </row>
    <row r="303" spans="1:15" x14ac:dyDescent="0.3">
      <c r="A303" t="s">
        <v>117</v>
      </c>
      <c r="B303" s="1" t="s">
        <v>664</v>
      </c>
      <c r="C303" s="1" t="s">
        <v>667</v>
      </c>
      <c r="D303" s="1" t="s">
        <v>670</v>
      </c>
      <c r="E303" s="1" t="s">
        <v>47</v>
      </c>
      <c r="F303" s="1" t="s">
        <v>67</v>
      </c>
      <c r="G303" s="1">
        <v>1</v>
      </c>
      <c r="H303" s="1">
        <v>4.4000000000000004</v>
      </c>
      <c r="I303" s="1">
        <v>10</v>
      </c>
      <c r="J303" s="1" t="s">
        <v>19</v>
      </c>
      <c r="K303" s="1" t="s">
        <v>20</v>
      </c>
      <c r="L303" t="s">
        <v>169</v>
      </c>
      <c r="M303" s="1" t="s">
        <v>19</v>
      </c>
      <c r="N303" s="1">
        <v>0.31</v>
      </c>
      <c r="O303" s="1" t="s">
        <v>51</v>
      </c>
    </row>
    <row r="304" spans="1:15" x14ac:dyDescent="0.3">
      <c r="A304" t="s">
        <v>15</v>
      </c>
      <c r="B304" s="1" t="s">
        <v>671</v>
      </c>
      <c r="C304" s="1" t="s">
        <v>672</v>
      </c>
      <c r="D304" s="1" t="s">
        <v>673</v>
      </c>
      <c r="E304" s="1" t="s">
        <v>109</v>
      </c>
      <c r="F304" s="1">
        <v>2010</v>
      </c>
      <c r="G304" s="1">
        <v>3</v>
      </c>
      <c r="H304" s="1">
        <v>4.4000000000000004</v>
      </c>
      <c r="I304" s="1">
        <v>1100</v>
      </c>
      <c r="J304" s="1" t="s">
        <v>19</v>
      </c>
      <c r="K304" s="1" t="s">
        <v>32</v>
      </c>
      <c r="L304" t="s">
        <v>109</v>
      </c>
      <c r="M304" s="1" t="s">
        <v>19</v>
      </c>
      <c r="N304" s="1">
        <v>0.3</v>
      </c>
      <c r="O304" s="1" t="s">
        <v>25</v>
      </c>
    </row>
    <row r="305" spans="1:15" x14ac:dyDescent="0.3">
      <c r="A305" t="s">
        <v>15</v>
      </c>
      <c r="B305" s="1" t="s">
        <v>671</v>
      </c>
      <c r="C305" s="1" t="s">
        <v>672</v>
      </c>
      <c r="D305" s="1" t="s">
        <v>674</v>
      </c>
      <c r="E305" s="1" t="s">
        <v>675</v>
      </c>
      <c r="F305" s="1" t="s">
        <v>67</v>
      </c>
      <c r="G305" s="1">
        <v>2</v>
      </c>
      <c r="H305" s="1">
        <v>4.5999999999999996</v>
      </c>
      <c r="I305" s="1">
        <v>0</v>
      </c>
      <c r="J305" s="1" t="s">
        <v>19</v>
      </c>
      <c r="K305" s="1" t="s">
        <v>20</v>
      </c>
      <c r="L305" t="s">
        <v>676</v>
      </c>
      <c r="M305" s="1" t="s">
        <v>19</v>
      </c>
      <c r="N305" s="1">
        <v>1.2</v>
      </c>
      <c r="O305" s="1" t="s">
        <v>25</v>
      </c>
    </row>
    <row r="306" spans="1:15" x14ac:dyDescent="0.3">
      <c r="A306" t="s">
        <v>15</v>
      </c>
      <c r="B306" s="1" t="s">
        <v>671</v>
      </c>
      <c r="C306" s="1" t="s">
        <v>672</v>
      </c>
      <c r="D306" s="1" t="s">
        <v>677</v>
      </c>
      <c r="E306" s="1" t="s">
        <v>678</v>
      </c>
      <c r="F306" s="1" t="s">
        <v>67</v>
      </c>
      <c r="G306" s="1">
        <v>2</v>
      </c>
      <c r="H306" s="1">
        <v>4.7</v>
      </c>
      <c r="I306" s="1">
        <v>0</v>
      </c>
      <c r="J306" s="1" t="s">
        <v>19</v>
      </c>
      <c r="K306" s="1" t="s">
        <v>20</v>
      </c>
      <c r="L306" t="s">
        <v>109</v>
      </c>
      <c r="M306" s="1" t="s">
        <v>19</v>
      </c>
      <c r="N306" s="1">
        <v>0.71</v>
      </c>
      <c r="O306" s="1" t="s">
        <v>25</v>
      </c>
    </row>
    <row r="307" spans="1:15" x14ac:dyDescent="0.3">
      <c r="A307" t="s">
        <v>15</v>
      </c>
      <c r="B307" s="1" t="s">
        <v>16</v>
      </c>
      <c r="C307" s="1" t="s">
        <v>679</v>
      </c>
      <c r="D307" s="1" t="s">
        <v>680</v>
      </c>
      <c r="E307" s="1" t="s">
        <v>375</v>
      </c>
      <c r="F307" s="1" t="s">
        <v>67</v>
      </c>
      <c r="G307" s="1">
        <v>1</v>
      </c>
      <c r="H307" s="1">
        <v>4.8</v>
      </c>
      <c r="I307" s="1">
        <v>0</v>
      </c>
      <c r="J307" s="1" t="s">
        <v>19</v>
      </c>
      <c r="K307" s="1" t="s">
        <v>20</v>
      </c>
      <c r="L307" t="s">
        <v>28</v>
      </c>
      <c r="M307" s="1" t="s">
        <v>19</v>
      </c>
      <c r="N307" s="1">
        <v>1.05</v>
      </c>
      <c r="O307" s="1" t="s">
        <v>51</v>
      </c>
    </row>
    <row r="308" spans="1:15" x14ac:dyDescent="0.3">
      <c r="A308" t="s">
        <v>15</v>
      </c>
      <c r="B308" s="1" t="s">
        <v>385</v>
      </c>
      <c r="C308" s="1" t="s">
        <v>681</v>
      </c>
      <c r="D308" s="1" t="s">
        <v>681</v>
      </c>
      <c r="E308" s="1" t="s">
        <v>27</v>
      </c>
      <c r="F308" s="1" t="s">
        <v>67</v>
      </c>
      <c r="G308" s="1">
        <v>1.5</v>
      </c>
      <c r="H308" s="1">
        <v>4.8</v>
      </c>
      <c r="I308" s="1">
        <v>0</v>
      </c>
      <c r="J308" s="1" t="s">
        <v>29</v>
      </c>
      <c r="K308" s="1" t="s">
        <v>20</v>
      </c>
      <c r="L308" t="s">
        <v>28</v>
      </c>
      <c r="M308" s="1" t="s">
        <v>29</v>
      </c>
      <c r="N308" s="1">
        <v>2</v>
      </c>
      <c r="O308" s="1" t="s">
        <v>51</v>
      </c>
    </row>
    <row r="309" spans="1:15" x14ac:dyDescent="0.3">
      <c r="A309" t="s">
        <v>306</v>
      </c>
      <c r="B309" s="1" t="s">
        <v>415</v>
      </c>
      <c r="C309" s="1" t="s">
        <v>437</v>
      </c>
      <c r="D309" s="1" t="s">
        <v>682</v>
      </c>
      <c r="E309" s="1" t="s">
        <v>675</v>
      </c>
      <c r="F309" s="1">
        <v>2016</v>
      </c>
      <c r="G309" s="1">
        <v>2</v>
      </c>
      <c r="H309" s="1">
        <v>4.5999999999999996</v>
      </c>
      <c r="I309" s="1">
        <v>0</v>
      </c>
      <c r="J309" s="1" t="s">
        <v>19</v>
      </c>
      <c r="K309" s="1" t="s">
        <v>20</v>
      </c>
      <c r="L309" t="s">
        <v>676</v>
      </c>
      <c r="M309" s="1" t="s">
        <v>19</v>
      </c>
      <c r="N309" s="1">
        <v>1.5</v>
      </c>
      <c r="O309" s="1" t="s">
        <v>51</v>
      </c>
    </row>
    <row r="310" spans="1:15" x14ac:dyDescent="0.3">
      <c r="A310" t="s">
        <v>306</v>
      </c>
      <c r="B310" s="1" t="s">
        <v>415</v>
      </c>
      <c r="C310" s="1" t="s">
        <v>683</v>
      </c>
      <c r="D310" s="1" t="s">
        <v>684</v>
      </c>
      <c r="E310" s="1" t="s">
        <v>675</v>
      </c>
      <c r="F310" s="1" t="s">
        <v>67</v>
      </c>
      <c r="G310" s="1">
        <v>2</v>
      </c>
      <c r="H310" s="1">
        <v>4.2</v>
      </c>
      <c r="I310" s="1">
        <v>0</v>
      </c>
      <c r="J310" s="1" t="s">
        <v>19</v>
      </c>
      <c r="K310" s="1" t="s">
        <v>20</v>
      </c>
      <c r="L310" t="s">
        <v>676</v>
      </c>
      <c r="M310" s="1" t="s">
        <v>19</v>
      </c>
      <c r="N310" s="1">
        <v>0.45</v>
      </c>
      <c r="O310" s="1" t="s">
        <v>51</v>
      </c>
    </row>
    <row r="311" spans="1:15" x14ac:dyDescent="0.3">
      <c r="A311" t="s">
        <v>87</v>
      </c>
      <c r="B311" s="1" t="s">
        <v>88</v>
      </c>
      <c r="C311" s="1" t="s">
        <v>685</v>
      </c>
      <c r="D311" s="1" t="s">
        <v>249</v>
      </c>
      <c r="E311" s="1" t="s">
        <v>82</v>
      </c>
      <c r="F311" s="1">
        <v>2005</v>
      </c>
      <c r="G311" s="1">
        <v>4</v>
      </c>
      <c r="H311" s="1">
        <v>4.5</v>
      </c>
      <c r="I311" s="1">
        <v>890</v>
      </c>
      <c r="J311" s="1" t="s">
        <v>19</v>
      </c>
      <c r="K311" s="1" t="s">
        <v>20</v>
      </c>
      <c r="L311" t="s">
        <v>109</v>
      </c>
      <c r="M311" s="1" t="s">
        <v>19</v>
      </c>
      <c r="N311" s="1">
        <v>0.95</v>
      </c>
      <c r="O311" s="1" t="s">
        <v>51</v>
      </c>
    </row>
    <row r="312" spans="1:15" x14ac:dyDescent="0.3">
      <c r="A312" t="s">
        <v>117</v>
      </c>
      <c r="B312" s="1" t="s">
        <v>502</v>
      </c>
      <c r="C312" s="1" t="s">
        <v>508</v>
      </c>
      <c r="D312" s="1" t="s">
        <v>686</v>
      </c>
      <c r="E312" s="1" t="s">
        <v>56</v>
      </c>
      <c r="F312" s="1">
        <v>1960</v>
      </c>
      <c r="G312" s="1">
        <v>3</v>
      </c>
      <c r="H312" s="1">
        <v>4.4000000000000004</v>
      </c>
      <c r="I312" s="1">
        <v>50</v>
      </c>
      <c r="J312" s="1" t="s">
        <v>19</v>
      </c>
      <c r="K312" s="1" t="s">
        <v>32</v>
      </c>
      <c r="L312" t="s">
        <v>73</v>
      </c>
      <c r="M312" s="1" t="s">
        <v>19</v>
      </c>
      <c r="N312" s="1">
        <v>0.81</v>
      </c>
      <c r="O312" s="1" t="s">
        <v>25</v>
      </c>
    </row>
    <row r="313" spans="1:15" x14ac:dyDescent="0.3">
      <c r="A313" t="s">
        <v>87</v>
      </c>
      <c r="B313" s="1" t="s">
        <v>88</v>
      </c>
      <c r="C313" s="1" t="s">
        <v>685</v>
      </c>
      <c r="D313" s="1" t="s">
        <v>687</v>
      </c>
      <c r="E313" s="1" t="s">
        <v>675</v>
      </c>
      <c r="F313" s="1">
        <v>2012</v>
      </c>
      <c r="G313" s="1">
        <v>2</v>
      </c>
      <c r="H313" s="1">
        <v>4.5</v>
      </c>
      <c r="I313" s="1">
        <v>0</v>
      </c>
      <c r="J313" s="1" t="s">
        <v>19</v>
      </c>
      <c r="K313" s="1" t="s">
        <v>20</v>
      </c>
      <c r="L313" t="s">
        <v>676</v>
      </c>
      <c r="M313" s="1" t="s">
        <v>19</v>
      </c>
      <c r="N313" s="1">
        <v>1.8</v>
      </c>
      <c r="O313" s="1" t="s">
        <v>51</v>
      </c>
    </row>
    <row r="314" spans="1:15" x14ac:dyDescent="0.3">
      <c r="A314" t="s">
        <v>87</v>
      </c>
      <c r="B314" s="1" t="s">
        <v>100</v>
      </c>
      <c r="C314" s="1" t="s">
        <v>101</v>
      </c>
      <c r="D314" s="1" t="s">
        <v>688</v>
      </c>
      <c r="E314" s="1" t="s">
        <v>675</v>
      </c>
      <c r="F314" s="1">
        <v>2004</v>
      </c>
      <c r="G314" s="1">
        <v>2</v>
      </c>
      <c r="H314" s="1">
        <v>4.5</v>
      </c>
      <c r="I314" s="1">
        <v>0</v>
      </c>
      <c r="J314" s="1" t="s">
        <v>19</v>
      </c>
      <c r="K314" s="1" t="s">
        <v>20</v>
      </c>
      <c r="L314" t="s">
        <v>676</v>
      </c>
      <c r="M314" s="1" t="s">
        <v>19</v>
      </c>
      <c r="N314" s="1">
        <v>1.2</v>
      </c>
      <c r="O314" s="1" t="s">
        <v>51</v>
      </c>
    </row>
    <row r="315" spans="1:15" x14ac:dyDescent="0.3">
      <c r="A315" t="s">
        <v>15</v>
      </c>
      <c r="B315" s="1" t="s">
        <v>16</v>
      </c>
      <c r="C315" s="1" t="s">
        <v>679</v>
      </c>
      <c r="D315" s="1" t="s">
        <v>689</v>
      </c>
      <c r="E315" s="1" t="s">
        <v>690</v>
      </c>
      <c r="F315" s="1">
        <v>1656</v>
      </c>
      <c r="G315" s="1">
        <v>1</v>
      </c>
      <c r="H315" s="1">
        <v>4.5</v>
      </c>
      <c r="I315" s="1">
        <v>0</v>
      </c>
      <c r="J315" s="1" t="s">
        <v>19</v>
      </c>
      <c r="K315" s="1" t="s">
        <v>20</v>
      </c>
      <c r="L315" t="s">
        <v>21</v>
      </c>
      <c r="M315" s="1" t="s">
        <v>19</v>
      </c>
      <c r="N315" s="1">
        <v>0.49</v>
      </c>
      <c r="O315" s="1" t="s">
        <v>51</v>
      </c>
    </row>
    <row r="316" spans="1:15" x14ac:dyDescent="0.3">
      <c r="A316" t="s">
        <v>87</v>
      </c>
      <c r="B316" s="1" t="s">
        <v>530</v>
      </c>
      <c r="C316" s="1" t="s">
        <v>536</v>
      </c>
      <c r="D316" s="1" t="s">
        <v>537</v>
      </c>
      <c r="E316" s="1" t="s">
        <v>27</v>
      </c>
      <c r="F316" s="1" t="s">
        <v>67</v>
      </c>
      <c r="G316" s="1">
        <v>1.5</v>
      </c>
      <c r="H316" s="1">
        <v>4.7</v>
      </c>
      <c r="I316" s="1">
        <v>0</v>
      </c>
      <c r="J316" s="1" t="s">
        <v>19</v>
      </c>
      <c r="K316" s="1" t="s">
        <v>20</v>
      </c>
      <c r="L316" t="s">
        <v>28</v>
      </c>
      <c r="M316" s="1" t="s">
        <v>29</v>
      </c>
      <c r="N316" s="1">
        <v>0.1</v>
      </c>
      <c r="O316" s="1" t="s">
        <v>51</v>
      </c>
    </row>
    <row r="317" spans="1:15" x14ac:dyDescent="0.3">
      <c r="A317" t="s">
        <v>306</v>
      </c>
      <c r="B317" s="1" t="s">
        <v>415</v>
      </c>
      <c r="C317" s="1" t="s">
        <v>683</v>
      </c>
      <c r="D317" s="1" t="s">
        <v>691</v>
      </c>
      <c r="E317" s="1" t="s">
        <v>692</v>
      </c>
      <c r="F317" s="1">
        <v>2011</v>
      </c>
      <c r="G317" s="1">
        <v>2</v>
      </c>
      <c r="H317" s="1">
        <v>4.5999999999999996</v>
      </c>
      <c r="I317" s="1">
        <v>1500</v>
      </c>
      <c r="J317" s="1" t="s">
        <v>19</v>
      </c>
      <c r="K317" s="1" t="s">
        <v>40</v>
      </c>
      <c r="L317" t="s">
        <v>129</v>
      </c>
      <c r="M317" s="1" t="s">
        <v>19</v>
      </c>
      <c r="N317" s="1">
        <v>7.4</v>
      </c>
      <c r="O317" s="1" t="s">
        <v>51</v>
      </c>
    </row>
    <row r="318" spans="1:15" x14ac:dyDescent="0.3">
      <c r="A318" t="s">
        <v>306</v>
      </c>
      <c r="B318" s="1" t="s">
        <v>415</v>
      </c>
      <c r="C318" s="1" t="s">
        <v>420</v>
      </c>
      <c r="D318" s="1" t="s">
        <v>693</v>
      </c>
      <c r="E318" s="1" t="s">
        <v>675</v>
      </c>
      <c r="F318" s="1">
        <v>2020</v>
      </c>
      <c r="G318" s="1">
        <v>2</v>
      </c>
      <c r="H318" s="1">
        <v>4.5999999999999996</v>
      </c>
      <c r="I318" s="1">
        <v>0</v>
      </c>
      <c r="J318" s="1" t="s">
        <v>19</v>
      </c>
      <c r="K318" s="1" t="s">
        <v>20</v>
      </c>
      <c r="L318" t="s">
        <v>676</v>
      </c>
      <c r="M318" s="1" t="s">
        <v>19</v>
      </c>
      <c r="N318" s="1">
        <v>0.35</v>
      </c>
      <c r="O318" s="1" t="s">
        <v>51</v>
      </c>
    </row>
    <row r="319" spans="1:15" x14ac:dyDescent="0.3">
      <c r="A319" t="s">
        <v>87</v>
      </c>
      <c r="B319" s="1" t="s">
        <v>219</v>
      </c>
      <c r="C319" s="1" t="s">
        <v>225</v>
      </c>
      <c r="D319" s="1" t="s">
        <v>694</v>
      </c>
      <c r="E319" s="1" t="s">
        <v>675</v>
      </c>
      <c r="F319" s="1">
        <v>2013</v>
      </c>
      <c r="G319" s="1">
        <v>3</v>
      </c>
      <c r="H319" s="1">
        <v>4.5999999999999996</v>
      </c>
      <c r="I319" s="1">
        <v>0</v>
      </c>
      <c r="J319" s="1" t="s">
        <v>19</v>
      </c>
      <c r="K319" s="1" t="s">
        <v>20</v>
      </c>
      <c r="L319" t="s">
        <v>676</v>
      </c>
      <c r="M319" s="1" t="s">
        <v>19</v>
      </c>
      <c r="N319" s="1">
        <v>1.9</v>
      </c>
      <c r="O319" s="1" t="s">
        <v>51</v>
      </c>
    </row>
    <row r="320" spans="1:15" x14ac:dyDescent="0.3">
      <c r="A320" t="s">
        <v>15</v>
      </c>
      <c r="B320" s="1" t="s">
        <v>16</v>
      </c>
      <c r="C320" s="1" t="s">
        <v>679</v>
      </c>
      <c r="D320" s="1" t="s">
        <v>695</v>
      </c>
      <c r="E320" s="1" t="s">
        <v>53</v>
      </c>
      <c r="F320" s="1">
        <v>1977</v>
      </c>
      <c r="G320" s="1">
        <v>2</v>
      </c>
      <c r="H320" s="1">
        <v>4.4000000000000004</v>
      </c>
      <c r="I320" s="1">
        <v>50</v>
      </c>
      <c r="J320" s="1" t="s">
        <v>19</v>
      </c>
      <c r="K320" s="1" t="s">
        <v>32</v>
      </c>
      <c r="L320" t="s">
        <v>169</v>
      </c>
      <c r="M320" s="1" t="s">
        <v>19</v>
      </c>
      <c r="N320" s="1">
        <v>0.24</v>
      </c>
      <c r="O320" s="1" t="s">
        <v>37</v>
      </c>
    </row>
    <row r="321" spans="1:15" x14ac:dyDescent="0.3">
      <c r="A321" t="s">
        <v>606</v>
      </c>
      <c r="B321" s="1" t="s">
        <v>696</v>
      </c>
      <c r="C321" s="1" t="s">
        <v>697</v>
      </c>
      <c r="D321" s="1" t="s">
        <v>698</v>
      </c>
      <c r="E321" s="1" t="s">
        <v>654</v>
      </c>
      <c r="F321" s="1" t="s">
        <v>67</v>
      </c>
      <c r="G321" s="1">
        <v>2</v>
      </c>
      <c r="H321" s="1">
        <v>4.5999999999999996</v>
      </c>
      <c r="I321" s="1">
        <v>0</v>
      </c>
      <c r="J321" s="1" t="s">
        <v>29</v>
      </c>
      <c r="K321" s="1" t="s">
        <v>20</v>
      </c>
      <c r="L321" t="s">
        <v>94</v>
      </c>
      <c r="M321" s="1" t="s">
        <v>19</v>
      </c>
      <c r="N321" s="1">
        <v>0.06</v>
      </c>
      <c r="O321" s="1" t="s">
        <v>37</v>
      </c>
    </row>
    <row r="322" spans="1:15" x14ac:dyDescent="0.3">
      <c r="A322" t="s">
        <v>62</v>
      </c>
      <c r="B322" s="1" t="s">
        <v>154</v>
      </c>
      <c r="C322" s="1" t="s">
        <v>172</v>
      </c>
      <c r="D322" s="1" t="s">
        <v>699</v>
      </c>
      <c r="E322" s="1" t="s">
        <v>27</v>
      </c>
      <c r="F322" s="1">
        <v>1992</v>
      </c>
      <c r="G322" s="1">
        <v>3</v>
      </c>
      <c r="H322" s="1">
        <v>4.5999999999999996</v>
      </c>
      <c r="I322" s="1">
        <v>0</v>
      </c>
      <c r="J322" s="1" t="s">
        <v>19</v>
      </c>
      <c r="K322" s="1" t="s">
        <v>32</v>
      </c>
      <c r="L322" t="s">
        <v>28</v>
      </c>
      <c r="M322" s="1" t="s">
        <v>29</v>
      </c>
      <c r="N322" s="1">
        <v>0.18</v>
      </c>
      <c r="O322" s="1" t="s">
        <v>51</v>
      </c>
    </row>
    <row r="323" spans="1:15" x14ac:dyDescent="0.3">
      <c r="A323" t="s">
        <v>306</v>
      </c>
      <c r="B323" s="1" t="s">
        <v>415</v>
      </c>
      <c r="C323" s="1" t="s">
        <v>416</v>
      </c>
      <c r="D323" s="1" t="s">
        <v>700</v>
      </c>
      <c r="E323" s="1" t="s">
        <v>43</v>
      </c>
      <c r="F323" s="1">
        <v>1565</v>
      </c>
      <c r="G323" s="1">
        <v>2</v>
      </c>
      <c r="H323" s="1">
        <v>4.5</v>
      </c>
      <c r="I323" s="1">
        <v>40</v>
      </c>
      <c r="J323" s="1" t="s">
        <v>19</v>
      </c>
      <c r="K323" s="1" t="s">
        <v>20</v>
      </c>
      <c r="L323" t="s">
        <v>21</v>
      </c>
      <c r="M323" s="1" t="s">
        <v>19</v>
      </c>
      <c r="N323" s="1">
        <v>1.3</v>
      </c>
      <c r="O323" s="1" t="s">
        <v>25</v>
      </c>
    </row>
    <row r="324" spans="1:15" x14ac:dyDescent="0.3">
      <c r="A324" t="s">
        <v>306</v>
      </c>
      <c r="B324" s="1" t="s">
        <v>307</v>
      </c>
      <c r="C324" s="1" t="s">
        <v>311</v>
      </c>
      <c r="D324" s="1" t="s">
        <v>701</v>
      </c>
      <c r="E324" s="1" t="s">
        <v>53</v>
      </c>
      <c r="F324" s="1">
        <v>2013</v>
      </c>
      <c r="G324" s="1">
        <v>2</v>
      </c>
      <c r="H324" s="1">
        <v>4.7</v>
      </c>
      <c r="I324" s="1">
        <v>10</v>
      </c>
      <c r="J324" s="1" t="s">
        <v>19</v>
      </c>
      <c r="K324" s="1" t="s">
        <v>32</v>
      </c>
      <c r="L324" t="s">
        <v>169</v>
      </c>
      <c r="M324" s="1" t="s">
        <v>19</v>
      </c>
      <c r="N324" s="1">
        <v>0.15</v>
      </c>
      <c r="O324" s="1" t="s">
        <v>51</v>
      </c>
    </row>
    <row r="325" spans="1:15" x14ac:dyDescent="0.3">
      <c r="A325" t="s">
        <v>15</v>
      </c>
      <c r="B325" s="1" t="s">
        <v>181</v>
      </c>
      <c r="C325" s="1" t="s">
        <v>182</v>
      </c>
      <c r="D325" s="1" t="s">
        <v>185</v>
      </c>
      <c r="E325" s="1" t="s">
        <v>91</v>
      </c>
      <c r="F325" s="1">
        <v>1727</v>
      </c>
      <c r="G325" s="1">
        <v>2</v>
      </c>
      <c r="H325" s="1">
        <v>4.4000000000000004</v>
      </c>
      <c r="I325" s="1">
        <v>200</v>
      </c>
      <c r="J325" s="1" t="s">
        <v>19</v>
      </c>
      <c r="K325" s="1" t="s">
        <v>20</v>
      </c>
      <c r="L325" t="s">
        <v>21</v>
      </c>
      <c r="M325" s="1" t="s">
        <v>19</v>
      </c>
      <c r="N325" s="1">
        <v>0.51</v>
      </c>
      <c r="O325" s="1" t="s">
        <v>37</v>
      </c>
    </row>
    <row r="326" spans="1:15" x14ac:dyDescent="0.3">
      <c r="A326" t="s">
        <v>15</v>
      </c>
      <c r="B326" s="1" t="s">
        <v>181</v>
      </c>
      <c r="C326" s="1" t="s">
        <v>182</v>
      </c>
      <c r="D326" s="1" t="s">
        <v>702</v>
      </c>
      <c r="E326" s="1" t="s">
        <v>53</v>
      </c>
      <c r="F326" s="1">
        <v>1887</v>
      </c>
      <c r="G326" s="1">
        <v>2</v>
      </c>
      <c r="H326" s="1">
        <v>4.5</v>
      </c>
      <c r="I326" s="1">
        <v>200</v>
      </c>
      <c r="J326" s="1" t="s">
        <v>19</v>
      </c>
      <c r="K326" s="1" t="s">
        <v>20</v>
      </c>
      <c r="L326" t="s">
        <v>21</v>
      </c>
      <c r="M326" s="1" t="s">
        <v>19</v>
      </c>
      <c r="N326" s="1">
        <v>0.63</v>
      </c>
      <c r="O326" s="1"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BBA4-D0B8-438A-B677-DAC88AC62069}">
  <dimension ref="A1"/>
  <sheetViews>
    <sheetView tabSelected="1" zoomScale="122" workbookViewId="0">
      <selection activeCell="D13" sqref="D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2ACD-4C68-41F6-B8CC-76DECB0294B9}">
  <dimension ref="A1:K83"/>
  <sheetViews>
    <sheetView workbookViewId="0">
      <selection activeCell="C13" sqref="C13"/>
    </sheetView>
  </sheetViews>
  <sheetFormatPr defaultRowHeight="14.4" x14ac:dyDescent="0.3"/>
  <cols>
    <col min="1" max="1" width="25.109375" bestFit="1" customWidth="1"/>
    <col min="2" max="2" width="13.21875" bestFit="1" customWidth="1"/>
    <col min="3" max="3" width="15.44140625" bestFit="1" customWidth="1"/>
    <col min="4" max="4" width="26.88671875" bestFit="1" customWidth="1"/>
    <col min="5" max="5" width="13.21875" bestFit="1" customWidth="1"/>
    <col min="7" max="7" width="12.44140625" bestFit="1" customWidth="1"/>
    <col min="8" max="8" width="13.21875" bestFit="1" customWidth="1"/>
    <col min="9" max="10" width="12.44140625" bestFit="1" customWidth="1"/>
    <col min="11" max="11" width="13.21875" bestFit="1" customWidth="1"/>
  </cols>
  <sheetData>
    <row r="1" spans="1:11" x14ac:dyDescent="0.3">
      <c r="A1" t="s">
        <v>705</v>
      </c>
      <c r="D1" t="s">
        <v>706</v>
      </c>
      <c r="G1" t="s">
        <v>707</v>
      </c>
    </row>
    <row r="2" spans="1:11" x14ac:dyDescent="0.3">
      <c r="A2">
        <v>325</v>
      </c>
      <c r="B2">
        <f>GETPIVOTDATA("Name",$A$1)</f>
        <v>325</v>
      </c>
      <c r="D2">
        <v>4.4861538461538446</v>
      </c>
      <c r="E2" s="5">
        <f>GETPIVOTDATA("Google review rating",$D$1)</f>
        <v>4.4861538461538446</v>
      </c>
      <c r="G2">
        <v>132.74250000000004</v>
      </c>
      <c r="H2" s="4">
        <f>GETPIVOTDATA("Number of google review in lakhs",$G$1)</f>
        <v>132.74250000000004</v>
      </c>
    </row>
    <row r="4" spans="1:11" x14ac:dyDescent="0.3">
      <c r="A4" s="2" t="s">
        <v>703</v>
      </c>
      <c r="B4" t="s">
        <v>705</v>
      </c>
      <c r="D4" s="2" t="s">
        <v>703</v>
      </c>
      <c r="E4" t="s">
        <v>705</v>
      </c>
      <c r="G4" s="2" t="s">
        <v>703</v>
      </c>
      <c r="H4" t="s">
        <v>705</v>
      </c>
      <c r="J4" s="2" t="s">
        <v>703</v>
      </c>
      <c r="K4" t="s">
        <v>705</v>
      </c>
    </row>
    <row r="5" spans="1:11" x14ac:dyDescent="0.3">
      <c r="A5" s="3" t="s">
        <v>645</v>
      </c>
      <c r="B5">
        <v>4</v>
      </c>
      <c r="D5" s="3" t="s">
        <v>369</v>
      </c>
      <c r="E5">
        <v>1</v>
      </c>
      <c r="G5" s="3" t="s">
        <v>306</v>
      </c>
      <c r="H5">
        <v>39</v>
      </c>
      <c r="J5" s="3">
        <v>1</v>
      </c>
      <c r="K5">
        <v>107</v>
      </c>
    </row>
    <row r="6" spans="1:11" x14ac:dyDescent="0.3">
      <c r="A6" s="3" t="s">
        <v>558</v>
      </c>
      <c r="B6">
        <v>18</v>
      </c>
      <c r="D6" s="3" t="s">
        <v>82</v>
      </c>
      <c r="E6">
        <v>4</v>
      </c>
      <c r="G6" s="3" t="s">
        <v>117</v>
      </c>
      <c r="H6">
        <v>45</v>
      </c>
      <c r="J6" s="3">
        <v>1.5</v>
      </c>
      <c r="K6">
        <v>62</v>
      </c>
    </row>
    <row r="7" spans="1:11" x14ac:dyDescent="0.3">
      <c r="A7" s="3" t="s">
        <v>624</v>
      </c>
      <c r="B7">
        <v>1</v>
      </c>
      <c r="D7" s="3" t="s">
        <v>590</v>
      </c>
      <c r="E7">
        <v>1</v>
      </c>
      <c r="G7" s="3" t="s">
        <v>606</v>
      </c>
      <c r="H7">
        <v>14</v>
      </c>
      <c r="J7" s="3">
        <v>2</v>
      </c>
      <c r="K7">
        <v>93</v>
      </c>
    </row>
    <row r="8" spans="1:11" x14ac:dyDescent="0.3">
      <c r="A8" s="3" t="s">
        <v>607</v>
      </c>
      <c r="B8">
        <v>8</v>
      </c>
      <c r="D8" s="3" t="s">
        <v>79</v>
      </c>
      <c r="E8">
        <v>25</v>
      </c>
      <c r="G8" s="3" t="s">
        <v>15</v>
      </c>
      <c r="H8">
        <v>89</v>
      </c>
      <c r="J8" s="3">
        <v>3</v>
      </c>
      <c r="K8">
        <v>35</v>
      </c>
    </row>
    <row r="9" spans="1:11" x14ac:dyDescent="0.3">
      <c r="A9" s="3" t="s">
        <v>664</v>
      </c>
      <c r="B9">
        <v>4</v>
      </c>
      <c r="D9" s="3" t="s">
        <v>153</v>
      </c>
      <c r="E9">
        <v>4</v>
      </c>
      <c r="G9" s="3" t="s">
        <v>87</v>
      </c>
      <c r="H9">
        <v>98</v>
      </c>
      <c r="J9" s="3">
        <v>5</v>
      </c>
      <c r="K9">
        <v>8</v>
      </c>
    </row>
    <row r="10" spans="1:11" x14ac:dyDescent="0.3">
      <c r="A10" s="3" t="s">
        <v>635</v>
      </c>
      <c r="B10">
        <v>1</v>
      </c>
      <c r="D10" s="3" t="s">
        <v>215</v>
      </c>
      <c r="E10">
        <v>1</v>
      </c>
      <c r="G10" s="3" t="s">
        <v>62</v>
      </c>
      <c r="H10">
        <v>40</v>
      </c>
      <c r="J10" s="3" t="s">
        <v>704</v>
      </c>
      <c r="K10">
        <v>305</v>
      </c>
    </row>
    <row r="11" spans="1:11" x14ac:dyDescent="0.3">
      <c r="A11" s="3" t="s">
        <v>655</v>
      </c>
      <c r="B11">
        <v>2</v>
      </c>
      <c r="D11" s="3" t="s">
        <v>93</v>
      </c>
      <c r="E11">
        <v>1</v>
      </c>
      <c r="G11" s="3" t="s">
        <v>704</v>
      </c>
      <c r="H11">
        <v>325</v>
      </c>
    </row>
    <row r="12" spans="1:11" x14ac:dyDescent="0.3">
      <c r="A12" s="3" t="s">
        <v>16</v>
      </c>
      <c r="B12">
        <v>19</v>
      </c>
      <c r="D12" s="3" t="s">
        <v>122</v>
      </c>
      <c r="E12">
        <v>1</v>
      </c>
    </row>
    <row r="13" spans="1:11" x14ac:dyDescent="0.3">
      <c r="A13" s="3" t="s">
        <v>136</v>
      </c>
      <c r="B13">
        <v>14</v>
      </c>
      <c r="D13" s="3" t="s">
        <v>263</v>
      </c>
      <c r="E13">
        <v>8</v>
      </c>
    </row>
    <row r="14" spans="1:11" x14ac:dyDescent="0.3">
      <c r="A14" s="3" t="s">
        <v>154</v>
      </c>
      <c r="B14">
        <v>14</v>
      </c>
      <c r="D14" s="3" t="s">
        <v>139</v>
      </c>
      <c r="E14">
        <v>2</v>
      </c>
    </row>
    <row r="15" spans="1:11" x14ac:dyDescent="0.3">
      <c r="A15" s="3" t="s">
        <v>671</v>
      </c>
      <c r="B15">
        <v>3</v>
      </c>
      <c r="D15" s="3" t="s">
        <v>678</v>
      </c>
      <c r="E15">
        <v>1</v>
      </c>
    </row>
    <row r="16" spans="1:11" x14ac:dyDescent="0.3">
      <c r="A16" s="3" t="s">
        <v>339</v>
      </c>
      <c r="B16">
        <v>18</v>
      </c>
      <c r="D16" s="3" t="s">
        <v>430</v>
      </c>
      <c r="E16">
        <v>1</v>
      </c>
    </row>
    <row r="17" spans="1:5" x14ac:dyDescent="0.3">
      <c r="A17" s="3" t="s">
        <v>445</v>
      </c>
      <c r="B17">
        <v>6</v>
      </c>
      <c r="D17" s="3" t="s">
        <v>128</v>
      </c>
      <c r="E17">
        <v>1</v>
      </c>
    </row>
    <row r="18" spans="1:5" x14ac:dyDescent="0.3">
      <c r="A18" s="3" t="s">
        <v>659</v>
      </c>
      <c r="B18">
        <v>2</v>
      </c>
      <c r="D18" s="3" t="s">
        <v>169</v>
      </c>
      <c r="E18">
        <v>2</v>
      </c>
    </row>
    <row r="19" spans="1:5" x14ac:dyDescent="0.3">
      <c r="A19" s="3" t="s">
        <v>88</v>
      </c>
      <c r="B19">
        <v>19</v>
      </c>
      <c r="D19" s="3" t="s">
        <v>517</v>
      </c>
      <c r="E19">
        <v>1</v>
      </c>
    </row>
    <row r="20" spans="1:5" x14ac:dyDescent="0.3">
      <c r="A20" s="3" t="s">
        <v>219</v>
      </c>
      <c r="B20">
        <v>16</v>
      </c>
      <c r="D20" s="3" t="s">
        <v>109</v>
      </c>
      <c r="E20">
        <v>1</v>
      </c>
    </row>
    <row r="21" spans="1:5" x14ac:dyDescent="0.3">
      <c r="A21" s="3" t="s">
        <v>448</v>
      </c>
      <c r="B21">
        <v>10</v>
      </c>
      <c r="D21" s="3" t="s">
        <v>108</v>
      </c>
      <c r="E21">
        <v>1</v>
      </c>
    </row>
    <row r="22" spans="1:5" x14ac:dyDescent="0.3">
      <c r="A22" s="3" t="s">
        <v>307</v>
      </c>
      <c r="B22">
        <v>15</v>
      </c>
      <c r="D22" s="3" t="s">
        <v>43</v>
      </c>
      <c r="E22">
        <v>22</v>
      </c>
    </row>
    <row r="23" spans="1:5" x14ac:dyDescent="0.3">
      <c r="A23" s="3" t="s">
        <v>295</v>
      </c>
      <c r="B23">
        <v>4</v>
      </c>
      <c r="D23" s="3" t="s">
        <v>393</v>
      </c>
      <c r="E23">
        <v>1</v>
      </c>
    </row>
    <row r="24" spans="1:5" x14ac:dyDescent="0.3">
      <c r="A24" s="3" t="s">
        <v>63</v>
      </c>
      <c r="B24">
        <v>20</v>
      </c>
      <c r="D24" s="3" t="s">
        <v>97</v>
      </c>
      <c r="E24">
        <v>1</v>
      </c>
    </row>
    <row r="25" spans="1:5" x14ac:dyDescent="0.3">
      <c r="A25" s="3" t="s">
        <v>696</v>
      </c>
      <c r="B25">
        <v>1</v>
      </c>
      <c r="D25" s="3" t="s">
        <v>473</v>
      </c>
      <c r="E25">
        <v>1</v>
      </c>
    </row>
    <row r="26" spans="1:5" x14ac:dyDescent="0.3">
      <c r="A26" s="3" t="s">
        <v>638</v>
      </c>
      <c r="B26">
        <v>1</v>
      </c>
      <c r="D26" s="3" t="s">
        <v>375</v>
      </c>
      <c r="E26">
        <v>3</v>
      </c>
    </row>
    <row r="27" spans="1:5" x14ac:dyDescent="0.3">
      <c r="A27" s="3" t="s">
        <v>502</v>
      </c>
      <c r="B27">
        <v>12</v>
      </c>
      <c r="D27" s="3" t="s">
        <v>457</v>
      </c>
      <c r="E27">
        <v>6</v>
      </c>
    </row>
    <row r="28" spans="1:5" x14ac:dyDescent="0.3">
      <c r="A28" s="3" t="s">
        <v>640</v>
      </c>
      <c r="B28">
        <v>3</v>
      </c>
      <c r="D28" s="3" t="s">
        <v>21</v>
      </c>
      <c r="E28">
        <v>1</v>
      </c>
    </row>
    <row r="29" spans="1:5" x14ac:dyDescent="0.3">
      <c r="A29" s="3" t="s">
        <v>207</v>
      </c>
      <c r="B29">
        <v>4</v>
      </c>
      <c r="D29" s="3" t="s">
        <v>613</v>
      </c>
      <c r="E29">
        <v>1</v>
      </c>
    </row>
    <row r="30" spans="1:5" x14ac:dyDescent="0.3">
      <c r="A30" s="3" t="s">
        <v>181</v>
      </c>
      <c r="B30">
        <v>15</v>
      </c>
      <c r="D30" s="3" t="s">
        <v>106</v>
      </c>
      <c r="E30">
        <v>16</v>
      </c>
    </row>
    <row r="31" spans="1:5" x14ac:dyDescent="0.3">
      <c r="A31" s="3" t="s">
        <v>592</v>
      </c>
      <c r="B31">
        <v>7</v>
      </c>
      <c r="D31" s="3" t="s">
        <v>103</v>
      </c>
      <c r="E31">
        <v>2</v>
      </c>
    </row>
    <row r="32" spans="1:5" x14ac:dyDescent="0.3">
      <c r="A32" s="3" t="s">
        <v>530</v>
      </c>
      <c r="B32">
        <v>13</v>
      </c>
      <c r="D32" s="3" t="s">
        <v>675</v>
      </c>
      <c r="E32">
        <v>7</v>
      </c>
    </row>
    <row r="33" spans="1:5" x14ac:dyDescent="0.3">
      <c r="A33" s="3" t="s">
        <v>100</v>
      </c>
      <c r="B33">
        <v>11</v>
      </c>
      <c r="D33" s="3" t="s">
        <v>39</v>
      </c>
      <c r="E33">
        <v>2</v>
      </c>
    </row>
    <row r="34" spans="1:5" x14ac:dyDescent="0.3">
      <c r="A34" s="3" t="s">
        <v>627</v>
      </c>
      <c r="B34">
        <v>3</v>
      </c>
      <c r="D34" s="3" t="s">
        <v>272</v>
      </c>
      <c r="E34">
        <v>2</v>
      </c>
    </row>
    <row r="35" spans="1:5" x14ac:dyDescent="0.3">
      <c r="A35" s="3" t="s">
        <v>415</v>
      </c>
      <c r="B35">
        <v>23</v>
      </c>
      <c r="D35" s="3" t="s">
        <v>213</v>
      </c>
      <c r="E35">
        <v>3</v>
      </c>
    </row>
    <row r="36" spans="1:5" x14ac:dyDescent="0.3">
      <c r="A36" s="3" t="s">
        <v>385</v>
      </c>
      <c r="B36">
        <v>14</v>
      </c>
      <c r="D36" s="3" t="s">
        <v>352</v>
      </c>
      <c r="E36">
        <v>7</v>
      </c>
    </row>
    <row r="37" spans="1:5" x14ac:dyDescent="0.3">
      <c r="A37" s="3" t="s">
        <v>118</v>
      </c>
      <c r="B37">
        <v>20</v>
      </c>
      <c r="D37" s="3" t="s">
        <v>59</v>
      </c>
      <c r="E37">
        <v>9</v>
      </c>
    </row>
    <row r="38" spans="1:5" x14ac:dyDescent="0.3">
      <c r="A38" s="3" t="s">
        <v>704</v>
      </c>
      <c r="B38">
        <v>325</v>
      </c>
      <c r="D38" s="3" t="s">
        <v>690</v>
      </c>
      <c r="E38">
        <v>1</v>
      </c>
    </row>
    <row r="39" spans="1:5" x14ac:dyDescent="0.3">
      <c r="D39" s="3" t="s">
        <v>260</v>
      </c>
      <c r="E39">
        <v>1</v>
      </c>
    </row>
    <row r="40" spans="1:5" x14ac:dyDescent="0.3">
      <c r="D40" s="3" t="s">
        <v>53</v>
      </c>
      <c r="E40">
        <v>11</v>
      </c>
    </row>
    <row r="41" spans="1:5" x14ac:dyDescent="0.3">
      <c r="D41" s="3" t="s">
        <v>72</v>
      </c>
      <c r="E41">
        <v>14</v>
      </c>
    </row>
    <row r="42" spans="1:5" x14ac:dyDescent="0.3">
      <c r="D42" s="3" t="s">
        <v>654</v>
      </c>
      <c r="E42">
        <v>2</v>
      </c>
    </row>
    <row r="43" spans="1:5" x14ac:dyDescent="0.3">
      <c r="D43" s="3" t="s">
        <v>35</v>
      </c>
      <c r="E43">
        <v>1</v>
      </c>
    </row>
    <row r="44" spans="1:5" x14ac:dyDescent="0.3">
      <c r="D44" s="3" t="s">
        <v>406</v>
      </c>
      <c r="E44">
        <v>1</v>
      </c>
    </row>
    <row r="45" spans="1:5" x14ac:dyDescent="0.3">
      <c r="D45" s="3" t="s">
        <v>91</v>
      </c>
      <c r="E45">
        <v>12</v>
      </c>
    </row>
    <row r="46" spans="1:5" x14ac:dyDescent="0.3">
      <c r="D46" s="3" t="s">
        <v>47</v>
      </c>
      <c r="E46">
        <v>7</v>
      </c>
    </row>
    <row r="47" spans="1:5" x14ac:dyDescent="0.3">
      <c r="D47" s="3" t="s">
        <v>333</v>
      </c>
      <c r="E47">
        <v>1</v>
      </c>
    </row>
    <row r="48" spans="1:5" x14ac:dyDescent="0.3">
      <c r="D48" s="3" t="s">
        <v>66</v>
      </c>
      <c r="E48">
        <v>1</v>
      </c>
    </row>
    <row r="49" spans="4:5" x14ac:dyDescent="0.3">
      <c r="D49" s="3" t="s">
        <v>692</v>
      </c>
      <c r="E49">
        <v>1</v>
      </c>
    </row>
    <row r="50" spans="4:5" x14ac:dyDescent="0.3">
      <c r="D50" s="3" t="s">
        <v>599</v>
      </c>
      <c r="E50">
        <v>1</v>
      </c>
    </row>
    <row r="51" spans="4:5" x14ac:dyDescent="0.3">
      <c r="D51" s="3" t="s">
        <v>77</v>
      </c>
      <c r="E51">
        <v>1</v>
      </c>
    </row>
    <row r="52" spans="4:5" x14ac:dyDescent="0.3">
      <c r="D52" s="3" t="s">
        <v>210</v>
      </c>
      <c r="E52">
        <v>2</v>
      </c>
    </row>
    <row r="53" spans="4:5" x14ac:dyDescent="0.3">
      <c r="D53" s="3" t="s">
        <v>618</v>
      </c>
      <c r="E53">
        <v>1</v>
      </c>
    </row>
    <row r="54" spans="4:5" x14ac:dyDescent="0.3">
      <c r="D54" s="3" t="s">
        <v>634</v>
      </c>
      <c r="E54">
        <v>1</v>
      </c>
    </row>
    <row r="55" spans="4:5" x14ac:dyDescent="0.3">
      <c r="D55" s="3" t="s">
        <v>224</v>
      </c>
      <c r="E55">
        <v>1</v>
      </c>
    </row>
    <row r="56" spans="4:5" x14ac:dyDescent="0.3">
      <c r="D56" s="3" t="s">
        <v>342</v>
      </c>
      <c r="E56">
        <v>1</v>
      </c>
    </row>
    <row r="57" spans="4:5" x14ac:dyDescent="0.3">
      <c r="D57" s="3" t="s">
        <v>61</v>
      </c>
      <c r="E57">
        <v>3</v>
      </c>
    </row>
    <row r="58" spans="4:5" x14ac:dyDescent="0.3">
      <c r="D58" s="3" t="s">
        <v>218</v>
      </c>
      <c r="E58">
        <v>1</v>
      </c>
    </row>
    <row r="59" spans="4:5" x14ac:dyDescent="0.3">
      <c r="D59" s="3" t="s">
        <v>195</v>
      </c>
      <c r="E59">
        <v>1</v>
      </c>
    </row>
    <row r="60" spans="4:5" x14ac:dyDescent="0.3">
      <c r="D60" s="3" t="s">
        <v>134</v>
      </c>
      <c r="E60">
        <v>6</v>
      </c>
    </row>
    <row r="61" spans="4:5" x14ac:dyDescent="0.3">
      <c r="D61" s="3" t="s">
        <v>384</v>
      </c>
      <c r="E61">
        <v>2</v>
      </c>
    </row>
    <row r="62" spans="4:5" x14ac:dyDescent="0.3">
      <c r="D62" s="3" t="s">
        <v>582</v>
      </c>
      <c r="E62">
        <v>1</v>
      </c>
    </row>
    <row r="63" spans="4:5" x14ac:dyDescent="0.3">
      <c r="D63" s="3" t="s">
        <v>45</v>
      </c>
      <c r="E63">
        <v>1</v>
      </c>
    </row>
    <row r="64" spans="4:5" x14ac:dyDescent="0.3">
      <c r="D64" s="3" t="s">
        <v>483</v>
      </c>
      <c r="E64">
        <v>1</v>
      </c>
    </row>
    <row r="65" spans="4:5" x14ac:dyDescent="0.3">
      <c r="D65" s="3" t="s">
        <v>390</v>
      </c>
      <c r="E65">
        <v>1</v>
      </c>
    </row>
    <row r="66" spans="4:5" x14ac:dyDescent="0.3">
      <c r="D66" s="3" t="s">
        <v>363</v>
      </c>
      <c r="E66">
        <v>1</v>
      </c>
    </row>
    <row r="67" spans="4:5" x14ac:dyDescent="0.3">
      <c r="D67" s="3" t="s">
        <v>27</v>
      </c>
      <c r="E67">
        <v>59</v>
      </c>
    </row>
    <row r="68" spans="4:5" x14ac:dyDescent="0.3">
      <c r="D68" s="3" t="s">
        <v>310</v>
      </c>
      <c r="E68">
        <v>1</v>
      </c>
    </row>
    <row r="69" spans="4:5" x14ac:dyDescent="0.3">
      <c r="D69" s="3" t="s">
        <v>31</v>
      </c>
      <c r="E69">
        <v>1</v>
      </c>
    </row>
    <row r="70" spans="4:5" x14ac:dyDescent="0.3">
      <c r="D70" s="3" t="s">
        <v>24</v>
      </c>
      <c r="E70">
        <v>1</v>
      </c>
    </row>
    <row r="71" spans="4:5" x14ac:dyDescent="0.3">
      <c r="D71" s="3" t="s">
        <v>112</v>
      </c>
      <c r="E71">
        <v>1</v>
      </c>
    </row>
    <row r="72" spans="4:5" x14ac:dyDescent="0.3">
      <c r="D72" s="3" t="s">
        <v>643</v>
      </c>
      <c r="E72">
        <v>1</v>
      </c>
    </row>
    <row r="73" spans="4:5" x14ac:dyDescent="0.3">
      <c r="D73" s="3" t="s">
        <v>372</v>
      </c>
      <c r="E73">
        <v>1</v>
      </c>
    </row>
    <row r="74" spans="4:5" x14ac:dyDescent="0.3">
      <c r="D74" s="3" t="s">
        <v>175</v>
      </c>
      <c r="E74">
        <v>1</v>
      </c>
    </row>
    <row r="75" spans="4:5" x14ac:dyDescent="0.3">
      <c r="D75" s="3" t="s">
        <v>300</v>
      </c>
      <c r="E75">
        <v>7</v>
      </c>
    </row>
    <row r="76" spans="4:5" x14ac:dyDescent="0.3">
      <c r="D76" s="3" t="s">
        <v>247</v>
      </c>
      <c r="E76">
        <v>3</v>
      </c>
    </row>
    <row r="77" spans="4:5" x14ac:dyDescent="0.3">
      <c r="D77" s="3" t="s">
        <v>479</v>
      </c>
      <c r="E77">
        <v>1</v>
      </c>
    </row>
    <row r="78" spans="4:5" x14ac:dyDescent="0.3">
      <c r="D78" s="3" t="s">
        <v>283</v>
      </c>
      <c r="E78">
        <v>1</v>
      </c>
    </row>
    <row r="79" spans="4:5" x14ac:dyDescent="0.3">
      <c r="D79" s="3" t="s">
        <v>18</v>
      </c>
      <c r="E79">
        <v>4</v>
      </c>
    </row>
    <row r="80" spans="4:5" x14ac:dyDescent="0.3">
      <c r="D80" s="3" t="s">
        <v>142</v>
      </c>
      <c r="E80">
        <v>11</v>
      </c>
    </row>
    <row r="81" spans="4:5" x14ac:dyDescent="0.3">
      <c r="D81" s="3" t="s">
        <v>190</v>
      </c>
      <c r="E81">
        <v>6</v>
      </c>
    </row>
    <row r="82" spans="4:5" x14ac:dyDescent="0.3">
      <c r="D82" s="3" t="s">
        <v>56</v>
      </c>
      <c r="E82">
        <v>7</v>
      </c>
    </row>
    <row r="83" spans="4:5" x14ac:dyDescent="0.3">
      <c r="D83" s="3" t="s">
        <v>704</v>
      </c>
      <c r="E83">
        <v>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 Indian Places to Visit</vt:lpstr>
      <vt:lpstr>Sheet1</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dc:creator>
  <cp:lastModifiedBy>rushikeshpalve09@gmail.com</cp:lastModifiedBy>
  <dcterms:created xsi:type="dcterms:W3CDTF">2026-01-21T16:54:50Z</dcterms:created>
  <dcterms:modified xsi:type="dcterms:W3CDTF">2026-03-17T10:25:34Z</dcterms:modified>
</cp:coreProperties>
</file>